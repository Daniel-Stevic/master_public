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HTW_Daniel_Stevic\Masterarbeit\Messungen\Wirkungsgradmessung\Type3\"/>
    </mc:Choice>
  </mc:AlternateContent>
  <xr:revisionPtr revIDLastSave="0" documentId="13_ncr:1_{9666DDB6-F67D-479E-8A8C-BFEDA1B36360}" xr6:coauthVersionLast="47" xr6:coauthVersionMax="47" xr10:uidLastSave="{00000000-0000-0000-0000-000000000000}"/>
  <bookViews>
    <workbookView xWindow="-38520" yWindow="-120" windowWidth="38640" windowHeight="21240" activeTab="2" xr2:uid="{00000000-000D-0000-FFFF-FFFF00000000}"/>
  </bookViews>
  <sheets>
    <sheet name="Uebersetzung_ccm" sheetId="1" r:id="rId1"/>
    <sheet name="Wirkungsgradkurven" sheetId="2" r:id="rId2"/>
    <sheet name="Bildverzeichnis" sheetId="3" r:id="rId3"/>
    <sheet name="Messmitt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2" l="1"/>
  <c r="K70" i="2"/>
  <c r="O70" i="2" s="1"/>
  <c r="C16" i="3" s="1"/>
  <c r="J70" i="2"/>
  <c r="I70" i="2"/>
  <c r="D50" i="2"/>
  <c r="K50" i="2"/>
  <c r="O50" i="2" s="1"/>
  <c r="C15" i="3" s="1"/>
  <c r="J50" i="2"/>
  <c r="I50" i="2"/>
  <c r="L70" i="2" l="1"/>
  <c r="M70" i="2"/>
  <c r="L50" i="2"/>
  <c r="M50" i="2"/>
  <c r="K72" i="2"/>
  <c r="O72" i="2" s="1"/>
  <c r="C14" i="3" s="1"/>
  <c r="J72" i="2"/>
  <c r="I72" i="2"/>
  <c r="D72" i="2"/>
  <c r="K71" i="2"/>
  <c r="O71" i="2" s="1"/>
  <c r="C13" i="3" s="1"/>
  <c r="J71" i="2"/>
  <c r="I71" i="2"/>
  <c r="D71" i="2"/>
  <c r="K69" i="2"/>
  <c r="J69" i="2"/>
  <c r="I69" i="2"/>
  <c r="D69" i="2"/>
  <c r="K68" i="2"/>
  <c r="O68" i="2" s="1"/>
  <c r="C12" i="3" s="1"/>
  <c r="J68" i="2"/>
  <c r="I68" i="2"/>
  <c r="D68" i="2"/>
  <c r="K67" i="2"/>
  <c r="O67" i="2" s="1"/>
  <c r="C11" i="3" s="1"/>
  <c r="J67" i="2"/>
  <c r="I67" i="2"/>
  <c r="D67" i="2"/>
  <c r="K66" i="2"/>
  <c r="J66" i="2"/>
  <c r="I66" i="2"/>
  <c r="D66" i="2"/>
  <c r="K65" i="2"/>
  <c r="J65" i="2"/>
  <c r="I65" i="2"/>
  <c r="D65" i="2"/>
  <c r="K64" i="2"/>
  <c r="J64" i="2"/>
  <c r="I64" i="2"/>
  <c r="D64" i="2"/>
  <c r="K63" i="2"/>
  <c r="O63" i="2" s="1"/>
  <c r="C10" i="3" s="1"/>
  <c r="J63" i="2"/>
  <c r="I63" i="2"/>
  <c r="D63" i="2"/>
  <c r="K61" i="2"/>
  <c r="O61" i="2" s="1"/>
  <c r="C9" i="3" s="1"/>
  <c r="J61" i="2"/>
  <c r="I61" i="2"/>
  <c r="D61" i="2"/>
  <c r="K60" i="2"/>
  <c r="J60" i="2"/>
  <c r="I60" i="2"/>
  <c r="D60" i="2"/>
  <c r="K59" i="2"/>
  <c r="J59" i="2"/>
  <c r="I59" i="2"/>
  <c r="D59" i="2"/>
  <c r="K58" i="2"/>
  <c r="J58" i="2"/>
  <c r="I58" i="2"/>
  <c r="D58" i="2"/>
  <c r="K57" i="2"/>
  <c r="J57" i="2"/>
  <c r="I57" i="2"/>
  <c r="D57" i="2"/>
  <c r="K56" i="2"/>
  <c r="J56" i="2"/>
  <c r="I56" i="2"/>
  <c r="D56" i="2"/>
  <c r="K55" i="2"/>
  <c r="O55" i="2" s="1"/>
  <c r="C8" i="3" s="1"/>
  <c r="J55" i="2"/>
  <c r="I55" i="2"/>
  <c r="D55" i="2"/>
  <c r="K53" i="2"/>
  <c r="J53" i="2"/>
  <c r="I53" i="2"/>
  <c r="D53" i="2"/>
  <c r="K52" i="2"/>
  <c r="J52" i="2"/>
  <c r="I52" i="2"/>
  <c r="D52" i="2"/>
  <c r="K51" i="2"/>
  <c r="J51" i="2"/>
  <c r="I51" i="2"/>
  <c r="D51" i="2"/>
  <c r="K49" i="2"/>
  <c r="J49" i="2"/>
  <c r="I49" i="2"/>
  <c r="D49" i="2"/>
  <c r="K48" i="2"/>
  <c r="J48" i="2"/>
  <c r="I48" i="2"/>
  <c r="D48" i="2"/>
  <c r="K47" i="2"/>
  <c r="J47" i="2"/>
  <c r="I47" i="2"/>
  <c r="D47" i="2"/>
  <c r="K46" i="2"/>
  <c r="J46" i="2"/>
  <c r="I46" i="2"/>
  <c r="D46" i="2"/>
  <c r="K45" i="2"/>
  <c r="J45" i="2"/>
  <c r="I45" i="2"/>
  <c r="D45" i="2"/>
  <c r="K44" i="2"/>
  <c r="J44" i="2"/>
  <c r="I44" i="2"/>
  <c r="D44" i="2"/>
  <c r="K43" i="2"/>
  <c r="O43" i="2" s="1"/>
  <c r="C6" i="3" s="1"/>
  <c r="J43" i="2"/>
  <c r="I43" i="2"/>
  <c r="D43" i="2"/>
  <c r="K41" i="2"/>
  <c r="J41" i="2"/>
  <c r="I41" i="2"/>
  <c r="D41" i="2"/>
  <c r="K40" i="2"/>
  <c r="J40" i="2"/>
  <c r="I40" i="2"/>
  <c r="D40" i="2"/>
  <c r="K39" i="2"/>
  <c r="J39" i="2"/>
  <c r="I39" i="2"/>
  <c r="D39" i="2"/>
  <c r="K38" i="2"/>
  <c r="J38" i="2"/>
  <c r="I38" i="2"/>
  <c r="D38" i="2"/>
  <c r="K37" i="2"/>
  <c r="O37" i="2" s="1"/>
  <c r="C5" i="3" s="1"/>
  <c r="J37" i="2"/>
  <c r="I37" i="2"/>
  <c r="D37" i="2"/>
  <c r="K35" i="2"/>
  <c r="J35" i="2"/>
  <c r="I35" i="2"/>
  <c r="D35" i="2"/>
  <c r="K34" i="2"/>
  <c r="J34" i="2"/>
  <c r="I34" i="2"/>
  <c r="D34" i="2"/>
  <c r="K33" i="2"/>
  <c r="J33" i="2"/>
  <c r="I33" i="2"/>
  <c r="D33" i="2"/>
  <c r="K32" i="2"/>
  <c r="J32" i="2"/>
  <c r="I32" i="2"/>
  <c r="D32" i="2"/>
  <c r="K31" i="2"/>
  <c r="J31" i="2"/>
  <c r="I31" i="2"/>
  <c r="D31" i="2"/>
  <c r="K30" i="2"/>
  <c r="J30" i="2"/>
  <c r="I30" i="2"/>
  <c r="D30" i="2"/>
  <c r="K28" i="2"/>
  <c r="J28" i="2"/>
  <c r="I28" i="2"/>
  <c r="D28" i="2"/>
  <c r="K27" i="2"/>
  <c r="J27" i="2"/>
  <c r="I27" i="2"/>
  <c r="D27" i="2"/>
  <c r="K26" i="2"/>
  <c r="J26" i="2"/>
  <c r="I26" i="2"/>
  <c r="D26" i="2"/>
  <c r="K25" i="2"/>
  <c r="J25" i="2"/>
  <c r="I25" i="2"/>
  <c r="D25" i="2"/>
  <c r="K24" i="2"/>
  <c r="J24" i="2"/>
  <c r="I24" i="2"/>
  <c r="D24" i="2"/>
  <c r="K23" i="2"/>
  <c r="J23" i="2"/>
  <c r="I23" i="2"/>
  <c r="D23" i="2"/>
  <c r="K22" i="2"/>
  <c r="O22" i="2" s="1"/>
  <c r="C4" i="3" s="1"/>
  <c r="J22" i="2"/>
  <c r="I22" i="2"/>
  <c r="D22" i="2"/>
  <c r="K20" i="2"/>
  <c r="J20" i="2"/>
  <c r="I20" i="2"/>
  <c r="D20" i="2"/>
  <c r="K19" i="2"/>
  <c r="J19" i="2"/>
  <c r="I19" i="2"/>
  <c r="D19" i="2"/>
  <c r="K18" i="2"/>
  <c r="J18" i="2"/>
  <c r="I18" i="2"/>
  <c r="D18" i="2"/>
  <c r="K17" i="2"/>
  <c r="J17" i="2"/>
  <c r="I17" i="2"/>
  <c r="D17" i="2"/>
  <c r="K16" i="2"/>
  <c r="J16" i="2"/>
  <c r="I16" i="2"/>
  <c r="D16" i="2"/>
  <c r="K15" i="2"/>
  <c r="O15" i="2" s="1"/>
  <c r="C3" i="3" s="1"/>
  <c r="J15" i="2"/>
  <c r="I15" i="2"/>
  <c r="D15" i="2"/>
  <c r="K13" i="2"/>
  <c r="J13" i="2"/>
  <c r="I13" i="2"/>
  <c r="D13" i="2"/>
  <c r="K12" i="2"/>
  <c r="J12" i="2"/>
  <c r="I12" i="2"/>
  <c r="D12" i="2"/>
  <c r="K11" i="2"/>
  <c r="J11" i="2"/>
  <c r="I11" i="2"/>
  <c r="D11" i="2"/>
  <c r="K10" i="2"/>
  <c r="J10" i="2"/>
  <c r="I10" i="2"/>
  <c r="D10" i="2"/>
  <c r="K9" i="2"/>
  <c r="J9" i="2"/>
  <c r="I9" i="2"/>
  <c r="D9" i="2"/>
  <c r="K8" i="2"/>
  <c r="J8" i="2"/>
  <c r="I8" i="2"/>
  <c r="D8" i="2"/>
  <c r="O53" i="2" l="1"/>
  <c r="C7" i="3" s="1"/>
  <c r="L71" i="2"/>
  <c r="L68" i="2"/>
  <c r="M65" i="2"/>
  <c r="L49" i="2"/>
  <c r="L51" i="2"/>
  <c r="L52" i="2"/>
  <c r="L53" i="2"/>
  <c r="L59" i="2"/>
  <c r="L61" i="2"/>
  <c r="L63" i="2"/>
  <c r="M64" i="2"/>
  <c r="M66" i="2"/>
  <c r="M46" i="2"/>
  <c r="M45" i="2"/>
  <c r="M55" i="2"/>
  <c r="M40" i="2"/>
  <c r="L38" i="2"/>
  <c r="M30" i="2"/>
  <c r="M22" i="2"/>
  <c r="M31" i="2"/>
  <c r="M24" i="2"/>
  <c r="M25" i="2"/>
  <c r="M32" i="2"/>
  <c r="L26" i="2"/>
  <c r="M26" i="2"/>
  <c r="M34" i="2"/>
  <c r="M28" i="2"/>
  <c r="M13" i="2"/>
  <c r="M18" i="2"/>
  <c r="L12" i="2"/>
  <c r="L11" i="2"/>
  <c r="L17" i="2"/>
  <c r="M10" i="2"/>
  <c r="L27" i="2"/>
  <c r="L28" i="2"/>
  <c r="L33" i="2"/>
  <c r="L34" i="2"/>
  <c r="M48" i="2"/>
  <c r="M12" i="2"/>
  <c r="L19" i="2"/>
  <c r="L20" i="2"/>
  <c r="M56" i="2"/>
  <c r="M57" i="2"/>
  <c r="M59" i="2"/>
  <c r="M63" i="2"/>
  <c r="L67" i="2"/>
  <c r="L72" i="2"/>
  <c r="L23" i="2"/>
  <c r="L24" i="2"/>
  <c r="M35" i="2"/>
  <c r="M39" i="2"/>
  <c r="L44" i="2"/>
  <c r="M68" i="2"/>
  <c r="L16" i="2"/>
  <c r="M16" i="2"/>
  <c r="M9" i="2"/>
  <c r="L8" i="2"/>
  <c r="M8" i="2"/>
  <c r="L10" i="2"/>
  <c r="M19" i="2"/>
  <c r="M27" i="2"/>
  <c r="L37" i="2"/>
  <c r="L48" i="2"/>
  <c r="M49" i="2"/>
  <c r="M51" i="2"/>
  <c r="M58" i="2"/>
  <c r="M67" i="2"/>
  <c r="M11" i="2"/>
  <c r="M15" i="2"/>
  <c r="L18" i="2"/>
  <c r="L22" i="2"/>
  <c r="L25" i="2"/>
  <c r="L30" i="2"/>
  <c r="M33" i="2"/>
  <c r="M37" i="2"/>
  <c r="L40" i="2"/>
  <c r="M43" i="2"/>
  <c r="L45" i="2"/>
  <c r="L46" i="2"/>
  <c r="M52" i="2"/>
  <c r="L55" i="2"/>
  <c r="M60" i="2"/>
  <c r="L64" i="2"/>
  <c r="M69" i="2"/>
  <c r="L15" i="2"/>
  <c r="M23" i="2"/>
  <c r="L43" i="2"/>
  <c r="L9" i="2"/>
  <c r="L13" i="2"/>
  <c r="M20" i="2"/>
  <c r="L32" i="2"/>
  <c r="L35" i="2"/>
  <c r="M38" i="2"/>
  <c r="M44" i="2"/>
  <c r="L47" i="2"/>
  <c r="L56" i="2"/>
  <c r="L57" i="2"/>
  <c r="M61" i="2"/>
  <c r="L65" i="2"/>
  <c r="L66" i="2"/>
  <c r="M71" i="2"/>
  <c r="L31" i="2"/>
  <c r="L39" i="2"/>
  <c r="L41" i="2"/>
  <c r="M53" i="2"/>
  <c r="L58" i="2"/>
  <c r="L60" i="2"/>
  <c r="L69" i="2"/>
  <c r="M17" i="2"/>
  <c r="M41" i="2"/>
  <c r="M47" i="2"/>
  <c r="M72" i="2"/>
  <c r="D192" i="1" l="1"/>
  <c r="D167" i="1"/>
  <c r="D162" i="1"/>
  <c r="B201" i="1"/>
  <c r="C201" i="1" s="1"/>
  <c r="B200" i="1"/>
  <c r="B199" i="1"/>
  <c r="D199" i="1" s="1"/>
  <c r="K201" i="1"/>
  <c r="J201" i="1"/>
  <c r="I201" i="1"/>
  <c r="D201" i="1"/>
  <c r="K200" i="1"/>
  <c r="J200" i="1"/>
  <c r="I200" i="1"/>
  <c r="D200" i="1"/>
  <c r="C200" i="1"/>
  <c r="K199" i="1"/>
  <c r="J199" i="1"/>
  <c r="L199" i="1" s="1"/>
  <c r="I199" i="1"/>
  <c r="K183" i="1"/>
  <c r="J183" i="1"/>
  <c r="I183" i="1"/>
  <c r="D183" i="1"/>
  <c r="C183" i="1"/>
  <c r="K182" i="1"/>
  <c r="J182" i="1"/>
  <c r="I182" i="1"/>
  <c r="D182" i="1"/>
  <c r="C182" i="1"/>
  <c r="K181" i="1"/>
  <c r="J181" i="1"/>
  <c r="I181" i="1"/>
  <c r="D181" i="1"/>
  <c r="C181" i="1"/>
  <c r="K217" i="1"/>
  <c r="J217" i="1"/>
  <c r="I217" i="1"/>
  <c r="D217" i="1"/>
  <c r="K216" i="1"/>
  <c r="J216" i="1"/>
  <c r="I216" i="1"/>
  <c r="D216" i="1"/>
  <c r="C213" i="1"/>
  <c r="D213" i="1"/>
  <c r="I213" i="1"/>
  <c r="J213" i="1"/>
  <c r="L213" i="1" s="1"/>
  <c r="K213" i="1"/>
  <c r="C214" i="1"/>
  <c r="D214" i="1"/>
  <c r="I214" i="1"/>
  <c r="J214" i="1"/>
  <c r="K214" i="1"/>
  <c r="L214" i="1" s="1"/>
  <c r="K212" i="1"/>
  <c r="J212" i="1"/>
  <c r="I212" i="1"/>
  <c r="D212" i="1"/>
  <c r="C212" i="1"/>
  <c r="K211" i="1"/>
  <c r="J211" i="1"/>
  <c r="L211" i="1" s="1"/>
  <c r="I211" i="1"/>
  <c r="D211" i="1"/>
  <c r="C211" i="1"/>
  <c r="K209" i="1"/>
  <c r="J209" i="1"/>
  <c r="I209" i="1"/>
  <c r="D209" i="1"/>
  <c r="K208" i="1"/>
  <c r="J208" i="1"/>
  <c r="I208" i="1"/>
  <c r="D208" i="1"/>
  <c r="K207" i="1"/>
  <c r="J207" i="1"/>
  <c r="I207" i="1"/>
  <c r="D207" i="1"/>
  <c r="K206" i="1"/>
  <c r="J206" i="1"/>
  <c r="I206" i="1"/>
  <c r="D206" i="1"/>
  <c r="B204" i="1"/>
  <c r="C204" i="1" s="1"/>
  <c r="B203" i="1"/>
  <c r="D203" i="1" s="1"/>
  <c r="K204" i="1"/>
  <c r="J204" i="1"/>
  <c r="L204" i="1" s="1"/>
  <c r="I204" i="1"/>
  <c r="K203" i="1"/>
  <c r="J203" i="1"/>
  <c r="I203" i="1"/>
  <c r="C203" i="1"/>
  <c r="B197" i="1"/>
  <c r="B196" i="1"/>
  <c r="B195" i="1"/>
  <c r="C195" i="1" s="1"/>
  <c r="K197" i="1"/>
  <c r="J197" i="1"/>
  <c r="I197" i="1"/>
  <c r="D197" i="1"/>
  <c r="C197" i="1"/>
  <c r="K196" i="1"/>
  <c r="J196" i="1"/>
  <c r="I196" i="1"/>
  <c r="D196" i="1"/>
  <c r="C196" i="1"/>
  <c r="K195" i="1"/>
  <c r="J195" i="1"/>
  <c r="I195" i="1"/>
  <c r="B191" i="1"/>
  <c r="D191" i="1" s="1"/>
  <c r="B192" i="1"/>
  <c r="C192" i="1" s="1"/>
  <c r="B193" i="1"/>
  <c r="D193" i="1" s="1"/>
  <c r="B190" i="1"/>
  <c r="D190" i="1" s="1"/>
  <c r="K193" i="1"/>
  <c r="J193" i="1"/>
  <c r="I193" i="1"/>
  <c r="K192" i="1"/>
  <c r="J192" i="1"/>
  <c r="I192" i="1"/>
  <c r="K191" i="1"/>
  <c r="J191" i="1"/>
  <c r="I191" i="1"/>
  <c r="C191" i="1"/>
  <c r="K190" i="1"/>
  <c r="J190" i="1"/>
  <c r="I190" i="1"/>
  <c r="C190" i="1"/>
  <c r="I186" i="1"/>
  <c r="J186" i="1"/>
  <c r="K186" i="1"/>
  <c r="I187" i="1"/>
  <c r="J187" i="1"/>
  <c r="K187" i="1"/>
  <c r="I188" i="1"/>
  <c r="J188" i="1"/>
  <c r="K188" i="1"/>
  <c r="I185" i="1"/>
  <c r="D188" i="1"/>
  <c r="C188" i="1"/>
  <c r="D187" i="1"/>
  <c r="C187" i="1"/>
  <c r="D186" i="1"/>
  <c r="C186" i="1"/>
  <c r="K185" i="1"/>
  <c r="J185" i="1"/>
  <c r="D185" i="1"/>
  <c r="C185" i="1"/>
  <c r="K179" i="1"/>
  <c r="J179" i="1"/>
  <c r="I179" i="1"/>
  <c r="D179" i="1"/>
  <c r="C179" i="1"/>
  <c r="K178" i="1"/>
  <c r="J178" i="1"/>
  <c r="L178" i="1" s="1"/>
  <c r="I178" i="1"/>
  <c r="D178" i="1"/>
  <c r="C178" i="1"/>
  <c r="K177" i="1"/>
  <c r="J177" i="1"/>
  <c r="I177" i="1"/>
  <c r="D177" i="1"/>
  <c r="C177" i="1"/>
  <c r="K176" i="1"/>
  <c r="J176" i="1"/>
  <c r="I176" i="1"/>
  <c r="D176" i="1"/>
  <c r="C176" i="1"/>
  <c r="D174" i="1"/>
  <c r="D100" i="1"/>
  <c r="D73" i="1"/>
  <c r="D44" i="1"/>
  <c r="D26" i="1"/>
  <c r="D12" i="1"/>
  <c r="K8" i="1"/>
  <c r="M8" i="1" s="1"/>
  <c r="J8" i="1"/>
  <c r="L8" i="1" s="1"/>
  <c r="I8" i="1"/>
  <c r="D160" i="1"/>
  <c r="K174" i="1"/>
  <c r="J174" i="1"/>
  <c r="I174" i="1"/>
  <c r="C174" i="1"/>
  <c r="K173" i="1"/>
  <c r="J173" i="1"/>
  <c r="L173" i="1" s="1"/>
  <c r="I173" i="1"/>
  <c r="C173" i="1"/>
  <c r="K172" i="1"/>
  <c r="J172" i="1"/>
  <c r="I172" i="1"/>
  <c r="C172" i="1"/>
  <c r="K171" i="1"/>
  <c r="J171" i="1"/>
  <c r="I171" i="1"/>
  <c r="D171" i="1"/>
  <c r="K170" i="1"/>
  <c r="J170" i="1"/>
  <c r="I170" i="1"/>
  <c r="C170" i="1"/>
  <c r="K168" i="1"/>
  <c r="J168" i="1"/>
  <c r="I168" i="1"/>
  <c r="B168" i="1"/>
  <c r="D168" i="1" s="1"/>
  <c r="B167" i="1"/>
  <c r="C167" i="1" s="1"/>
  <c r="K167" i="1"/>
  <c r="J167" i="1"/>
  <c r="I167" i="1"/>
  <c r="B165" i="1"/>
  <c r="D165" i="1" s="1"/>
  <c r="B164" i="1"/>
  <c r="D164" i="1" s="1"/>
  <c r="B163" i="1"/>
  <c r="D163" i="1" s="1"/>
  <c r="B162" i="1"/>
  <c r="K165" i="1"/>
  <c r="J165" i="1"/>
  <c r="I165" i="1"/>
  <c r="C165" i="1"/>
  <c r="K164" i="1"/>
  <c r="J164" i="1"/>
  <c r="I164" i="1"/>
  <c r="K163" i="1"/>
  <c r="J163" i="1"/>
  <c r="I163" i="1"/>
  <c r="C163" i="1"/>
  <c r="K162" i="1"/>
  <c r="J162" i="1"/>
  <c r="I162" i="1"/>
  <c r="C162" i="1"/>
  <c r="I159" i="1"/>
  <c r="D159" i="1"/>
  <c r="J159" i="1"/>
  <c r="K159" i="1"/>
  <c r="M159" i="1" s="1"/>
  <c r="I160" i="1"/>
  <c r="J160" i="1"/>
  <c r="K160" i="1"/>
  <c r="I151" i="1"/>
  <c r="D158" i="1"/>
  <c r="D156" i="1"/>
  <c r="B160" i="1"/>
  <c r="B159" i="1"/>
  <c r="C159" i="1" s="1"/>
  <c r="B158" i="1"/>
  <c r="C158" i="1" s="1"/>
  <c r="C160" i="1"/>
  <c r="K158" i="1"/>
  <c r="J158" i="1"/>
  <c r="I158" i="1"/>
  <c r="B156" i="1"/>
  <c r="B155" i="1"/>
  <c r="D155" i="1" s="1"/>
  <c r="B154" i="1"/>
  <c r="D154" i="1" s="1"/>
  <c r="B153" i="1"/>
  <c r="C153" i="1" s="1"/>
  <c r="K156" i="1"/>
  <c r="J156" i="1"/>
  <c r="I156" i="1"/>
  <c r="C156" i="1"/>
  <c r="K155" i="1"/>
  <c r="J155" i="1"/>
  <c r="I155" i="1"/>
  <c r="C155" i="1"/>
  <c r="K154" i="1"/>
  <c r="J154" i="1"/>
  <c r="M154" i="1" s="1"/>
  <c r="I154" i="1"/>
  <c r="C154" i="1"/>
  <c r="K153" i="1"/>
  <c r="J153" i="1"/>
  <c r="I153" i="1"/>
  <c r="J151" i="1"/>
  <c r="M151" i="1" s="1"/>
  <c r="K151" i="1"/>
  <c r="J127" i="1"/>
  <c r="I127" i="1"/>
  <c r="I150" i="1"/>
  <c r="B147" i="1"/>
  <c r="D147" i="1" s="1"/>
  <c r="B144" i="1"/>
  <c r="C144" i="1" s="1"/>
  <c r="B151" i="1"/>
  <c r="D151" i="1" s="1"/>
  <c r="B150" i="1"/>
  <c r="C150" i="1" s="1"/>
  <c r="B149" i="1"/>
  <c r="D149" i="1" s="1"/>
  <c r="B148" i="1"/>
  <c r="D148" i="1" s="1"/>
  <c r="C151" i="1"/>
  <c r="K150" i="1"/>
  <c r="M150" i="1" s="1"/>
  <c r="J150" i="1"/>
  <c r="K149" i="1"/>
  <c r="J149" i="1"/>
  <c r="I149" i="1"/>
  <c r="C149" i="1"/>
  <c r="K148" i="1"/>
  <c r="J148" i="1"/>
  <c r="I148" i="1"/>
  <c r="C148" i="1"/>
  <c r="K147" i="1"/>
  <c r="J147" i="1"/>
  <c r="L147" i="1" s="1"/>
  <c r="I147" i="1"/>
  <c r="C147" i="1"/>
  <c r="B145" i="1"/>
  <c r="C145" i="1"/>
  <c r="K145" i="1"/>
  <c r="J145" i="1"/>
  <c r="I145" i="1"/>
  <c r="D145" i="1"/>
  <c r="K144" i="1"/>
  <c r="J144" i="1"/>
  <c r="I144" i="1"/>
  <c r="D144" i="1"/>
  <c r="B142" i="1"/>
  <c r="D142" i="1" s="1"/>
  <c r="B141" i="1"/>
  <c r="B140" i="1"/>
  <c r="D140" i="1" s="1"/>
  <c r="B139" i="1"/>
  <c r="C139" i="1" s="1"/>
  <c r="K142" i="1"/>
  <c r="J142" i="1"/>
  <c r="I142" i="1"/>
  <c r="C142" i="1"/>
  <c r="K141" i="1"/>
  <c r="J141" i="1"/>
  <c r="L141" i="1" s="1"/>
  <c r="I141" i="1"/>
  <c r="D141" i="1"/>
  <c r="C141" i="1"/>
  <c r="K140" i="1"/>
  <c r="J140" i="1"/>
  <c r="I140" i="1"/>
  <c r="K139" i="1"/>
  <c r="J139" i="1"/>
  <c r="I139" i="1"/>
  <c r="B137" i="1"/>
  <c r="D137" i="1" s="1"/>
  <c r="B136" i="1"/>
  <c r="B135" i="1"/>
  <c r="D135" i="1" s="1"/>
  <c r="B134" i="1"/>
  <c r="C134" i="1" s="1"/>
  <c r="K137" i="1"/>
  <c r="J137" i="1"/>
  <c r="I137" i="1"/>
  <c r="C137" i="1"/>
  <c r="K136" i="1"/>
  <c r="J136" i="1"/>
  <c r="L136" i="1" s="1"/>
  <c r="I136" i="1"/>
  <c r="D136" i="1"/>
  <c r="C136" i="1"/>
  <c r="K135" i="1"/>
  <c r="L135" i="1" s="1"/>
  <c r="J135" i="1"/>
  <c r="I135" i="1"/>
  <c r="C135" i="1"/>
  <c r="K134" i="1"/>
  <c r="J134" i="1"/>
  <c r="I134" i="1"/>
  <c r="D134" i="1"/>
  <c r="B132" i="1"/>
  <c r="B131" i="1"/>
  <c r="D131" i="1" s="1"/>
  <c r="B130" i="1"/>
  <c r="C130" i="1" s="1"/>
  <c r="B129" i="1"/>
  <c r="D129" i="1" s="1"/>
  <c r="K132" i="1"/>
  <c r="J132" i="1"/>
  <c r="I132" i="1"/>
  <c r="D132" i="1"/>
  <c r="C132" i="1"/>
  <c r="K131" i="1"/>
  <c r="M131" i="1" s="1"/>
  <c r="J131" i="1"/>
  <c r="I131" i="1"/>
  <c r="C131" i="1"/>
  <c r="K130" i="1"/>
  <c r="J130" i="1"/>
  <c r="I130" i="1"/>
  <c r="K129" i="1"/>
  <c r="J129" i="1"/>
  <c r="I129" i="1"/>
  <c r="B127" i="1"/>
  <c r="C127" i="1" s="1"/>
  <c r="B126" i="1"/>
  <c r="D126" i="1" s="1"/>
  <c r="B124" i="1"/>
  <c r="B125" i="1"/>
  <c r="C125" i="1" s="1"/>
  <c r="B123" i="1"/>
  <c r="C123" i="1" s="1"/>
  <c r="K127" i="1"/>
  <c r="K126" i="1"/>
  <c r="J126" i="1"/>
  <c r="I126" i="1"/>
  <c r="K125" i="1"/>
  <c r="J125" i="1"/>
  <c r="I125" i="1"/>
  <c r="D125" i="1"/>
  <c r="K124" i="1"/>
  <c r="J124" i="1"/>
  <c r="I124" i="1"/>
  <c r="D124" i="1"/>
  <c r="C124" i="1"/>
  <c r="K123" i="1"/>
  <c r="J123" i="1"/>
  <c r="I123" i="1"/>
  <c r="D123" i="1"/>
  <c r="K121" i="1"/>
  <c r="J121" i="1"/>
  <c r="I121" i="1"/>
  <c r="D121" i="1"/>
  <c r="C121" i="1"/>
  <c r="K120" i="1"/>
  <c r="J120" i="1"/>
  <c r="I120" i="1"/>
  <c r="D120" i="1"/>
  <c r="C120" i="1"/>
  <c r="K119" i="1"/>
  <c r="J119" i="1"/>
  <c r="I119" i="1"/>
  <c r="D119" i="1"/>
  <c r="C119" i="1"/>
  <c r="K118" i="1"/>
  <c r="J118" i="1"/>
  <c r="I118" i="1"/>
  <c r="D118" i="1"/>
  <c r="C118" i="1"/>
  <c r="K116" i="1"/>
  <c r="J116" i="1"/>
  <c r="I116" i="1"/>
  <c r="D116" i="1"/>
  <c r="C116" i="1"/>
  <c r="K115" i="1"/>
  <c r="J115" i="1"/>
  <c r="I115" i="1"/>
  <c r="D115" i="1"/>
  <c r="C115" i="1"/>
  <c r="K114" i="1"/>
  <c r="J114" i="1"/>
  <c r="I114" i="1"/>
  <c r="D114" i="1"/>
  <c r="C114" i="1"/>
  <c r="K113" i="1"/>
  <c r="J113" i="1"/>
  <c r="I113" i="1"/>
  <c r="D113" i="1"/>
  <c r="C113" i="1"/>
  <c r="K111" i="1"/>
  <c r="J111" i="1"/>
  <c r="I111" i="1"/>
  <c r="D111" i="1"/>
  <c r="C111" i="1"/>
  <c r="K110" i="1"/>
  <c r="J110" i="1"/>
  <c r="I110" i="1"/>
  <c r="D110" i="1"/>
  <c r="C110" i="1"/>
  <c r="K109" i="1"/>
  <c r="J109" i="1"/>
  <c r="I109" i="1"/>
  <c r="D109" i="1"/>
  <c r="C109" i="1"/>
  <c r="K108" i="1"/>
  <c r="J108" i="1"/>
  <c r="I108" i="1"/>
  <c r="D108" i="1"/>
  <c r="C108" i="1"/>
  <c r="K106" i="1"/>
  <c r="J106" i="1"/>
  <c r="I106" i="1"/>
  <c r="D106" i="1"/>
  <c r="C106" i="1"/>
  <c r="K105" i="1"/>
  <c r="J105" i="1"/>
  <c r="I105" i="1"/>
  <c r="D105" i="1"/>
  <c r="C105" i="1"/>
  <c r="K104" i="1"/>
  <c r="J104" i="1"/>
  <c r="I104" i="1"/>
  <c r="D104" i="1"/>
  <c r="C104" i="1"/>
  <c r="K103" i="1"/>
  <c r="J103" i="1"/>
  <c r="I103" i="1"/>
  <c r="D103" i="1"/>
  <c r="C103" i="1"/>
  <c r="K102" i="1"/>
  <c r="J102" i="1"/>
  <c r="I102" i="1"/>
  <c r="D102" i="1"/>
  <c r="C102" i="1"/>
  <c r="K100" i="1"/>
  <c r="J100" i="1"/>
  <c r="I100" i="1"/>
  <c r="C100" i="1"/>
  <c r="K99" i="1"/>
  <c r="J99" i="1"/>
  <c r="L99" i="1" s="1"/>
  <c r="I99" i="1"/>
  <c r="D99" i="1"/>
  <c r="C99" i="1"/>
  <c r="K98" i="1"/>
  <c r="J98" i="1"/>
  <c r="I98" i="1"/>
  <c r="D98" i="1"/>
  <c r="C98" i="1"/>
  <c r="K97" i="1"/>
  <c r="J97" i="1"/>
  <c r="I97" i="1"/>
  <c r="D97" i="1"/>
  <c r="C97" i="1"/>
  <c r="K96" i="1"/>
  <c r="J96" i="1"/>
  <c r="I96" i="1"/>
  <c r="D96" i="1"/>
  <c r="C96" i="1"/>
  <c r="C92" i="1"/>
  <c r="K94" i="1"/>
  <c r="J94" i="1"/>
  <c r="I94" i="1"/>
  <c r="D94" i="1"/>
  <c r="C94" i="1"/>
  <c r="K93" i="1"/>
  <c r="J93" i="1"/>
  <c r="I93" i="1"/>
  <c r="D93" i="1"/>
  <c r="C93" i="1"/>
  <c r="K92" i="1"/>
  <c r="J92" i="1"/>
  <c r="I92" i="1"/>
  <c r="D92" i="1"/>
  <c r="K90" i="1"/>
  <c r="J90" i="1"/>
  <c r="I90" i="1"/>
  <c r="D90" i="1"/>
  <c r="C90" i="1"/>
  <c r="K89" i="1"/>
  <c r="J89" i="1"/>
  <c r="I89" i="1"/>
  <c r="D89" i="1"/>
  <c r="C89" i="1"/>
  <c r="K88" i="1"/>
  <c r="J88" i="1"/>
  <c r="I88" i="1"/>
  <c r="D88" i="1"/>
  <c r="C88" i="1"/>
  <c r="K87" i="1"/>
  <c r="J87" i="1"/>
  <c r="I87" i="1"/>
  <c r="D87" i="1"/>
  <c r="C87" i="1"/>
  <c r="K85" i="1"/>
  <c r="J85" i="1"/>
  <c r="I85" i="1"/>
  <c r="D85" i="1"/>
  <c r="C85" i="1"/>
  <c r="K84" i="1"/>
  <c r="J84" i="1"/>
  <c r="I84" i="1"/>
  <c r="D84" i="1"/>
  <c r="C84" i="1"/>
  <c r="K83" i="1"/>
  <c r="J83" i="1"/>
  <c r="I83" i="1"/>
  <c r="D83" i="1"/>
  <c r="C83" i="1"/>
  <c r="K82" i="1"/>
  <c r="J82" i="1"/>
  <c r="I82" i="1"/>
  <c r="D82" i="1"/>
  <c r="C82" i="1"/>
  <c r="K81" i="1"/>
  <c r="J81" i="1"/>
  <c r="I81" i="1"/>
  <c r="D81" i="1"/>
  <c r="C81" i="1"/>
  <c r="K79" i="1"/>
  <c r="J79" i="1"/>
  <c r="I79" i="1"/>
  <c r="D79" i="1"/>
  <c r="C79" i="1"/>
  <c r="K78" i="1"/>
  <c r="J78" i="1"/>
  <c r="I78" i="1"/>
  <c r="D78" i="1"/>
  <c r="C78" i="1"/>
  <c r="K77" i="1"/>
  <c r="J77" i="1"/>
  <c r="I77" i="1"/>
  <c r="D77" i="1"/>
  <c r="C77" i="1"/>
  <c r="K76" i="1"/>
  <c r="J76" i="1"/>
  <c r="I76" i="1"/>
  <c r="D76" i="1"/>
  <c r="C76" i="1"/>
  <c r="K75" i="1"/>
  <c r="J75" i="1"/>
  <c r="I75" i="1"/>
  <c r="D75" i="1"/>
  <c r="C75" i="1"/>
  <c r="K73" i="1"/>
  <c r="J73" i="1"/>
  <c r="I73" i="1"/>
  <c r="K72" i="1"/>
  <c r="J72" i="1"/>
  <c r="I72" i="1"/>
  <c r="D72" i="1"/>
  <c r="K71" i="1"/>
  <c r="J71" i="1"/>
  <c r="I71" i="1"/>
  <c r="D71" i="1"/>
  <c r="K70" i="1"/>
  <c r="J70" i="1"/>
  <c r="I70" i="1"/>
  <c r="D70" i="1"/>
  <c r="C73" i="1"/>
  <c r="C72" i="1"/>
  <c r="C71" i="1"/>
  <c r="C70" i="1"/>
  <c r="K68" i="1"/>
  <c r="J68" i="1"/>
  <c r="I68" i="1"/>
  <c r="D68" i="1"/>
  <c r="C68" i="1"/>
  <c r="K67" i="1"/>
  <c r="J67" i="1"/>
  <c r="I67" i="1"/>
  <c r="D67" i="1"/>
  <c r="C67" i="1"/>
  <c r="K66" i="1"/>
  <c r="J66" i="1"/>
  <c r="I66" i="1"/>
  <c r="D66" i="1"/>
  <c r="C66" i="1"/>
  <c r="K65" i="1"/>
  <c r="J65" i="1"/>
  <c r="I65" i="1"/>
  <c r="D65" i="1"/>
  <c r="C65" i="1"/>
  <c r="D41" i="1"/>
  <c r="D42" i="1"/>
  <c r="D43" i="1"/>
  <c r="D63" i="1"/>
  <c r="D62" i="1"/>
  <c r="D61" i="1"/>
  <c r="D60" i="1"/>
  <c r="D59" i="1"/>
  <c r="C63" i="1"/>
  <c r="C62" i="1"/>
  <c r="C61" i="1"/>
  <c r="C60" i="1"/>
  <c r="C59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7" i="1"/>
  <c r="J57" i="1"/>
  <c r="M57" i="1" s="1"/>
  <c r="I57" i="1"/>
  <c r="D57" i="1"/>
  <c r="C57" i="1"/>
  <c r="K56" i="1"/>
  <c r="J56" i="1"/>
  <c r="I56" i="1"/>
  <c r="D56" i="1"/>
  <c r="C56" i="1"/>
  <c r="K55" i="1"/>
  <c r="J55" i="1"/>
  <c r="I55" i="1"/>
  <c r="D55" i="1"/>
  <c r="C55" i="1"/>
  <c r="K54" i="1"/>
  <c r="M54" i="1" s="1"/>
  <c r="J54" i="1"/>
  <c r="I54" i="1"/>
  <c r="D54" i="1"/>
  <c r="C54" i="1"/>
  <c r="K53" i="1"/>
  <c r="J53" i="1"/>
  <c r="I53" i="1"/>
  <c r="D53" i="1"/>
  <c r="C53" i="1"/>
  <c r="K52" i="1"/>
  <c r="J52" i="1"/>
  <c r="I52" i="1"/>
  <c r="D52" i="1"/>
  <c r="C52" i="1"/>
  <c r="K50" i="1"/>
  <c r="J50" i="1"/>
  <c r="I50" i="1"/>
  <c r="D50" i="1"/>
  <c r="C50" i="1"/>
  <c r="K49" i="1"/>
  <c r="L49" i="1" s="1"/>
  <c r="J49" i="1"/>
  <c r="I49" i="1"/>
  <c r="D49" i="1"/>
  <c r="C49" i="1"/>
  <c r="K48" i="1"/>
  <c r="J48" i="1"/>
  <c r="I48" i="1"/>
  <c r="D48" i="1"/>
  <c r="C48" i="1"/>
  <c r="K47" i="1"/>
  <c r="J47" i="1"/>
  <c r="I47" i="1"/>
  <c r="D47" i="1"/>
  <c r="C47" i="1"/>
  <c r="K46" i="1"/>
  <c r="J46" i="1"/>
  <c r="M46" i="1" s="1"/>
  <c r="I46" i="1"/>
  <c r="D46" i="1"/>
  <c r="C46" i="1"/>
  <c r="K44" i="1"/>
  <c r="J44" i="1"/>
  <c r="I44" i="1"/>
  <c r="C44" i="1"/>
  <c r="C40" i="1"/>
  <c r="D40" i="1"/>
  <c r="I40" i="1"/>
  <c r="J40" i="1"/>
  <c r="K40" i="1"/>
  <c r="M40" i="1" s="1"/>
  <c r="K43" i="1"/>
  <c r="J43" i="1"/>
  <c r="I43" i="1"/>
  <c r="C43" i="1"/>
  <c r="K42" i="1"/>
  <c r="J42" i="1"/>
  <c r="L42" i="1" s="1"/>
  <c r="I42" i="1"/>
  <c r="C42" i="1"/>
  <c r="K41" i="1"/>
  <c r="J41" i="1"/>
  <c r="I41" i="1"/>
  <c r="C41" i="1"/>
  <c r="K38" i="1"/>
  <c r="J38" i="1"/>
  <c r="I38" i="1"/>
  <c r="D38" i="1"/>
  <c r="C38" i="1"/>
  <c r="K37" i="1"/>
  <c r="J37" i="1"/>
  <c r="I37" i="1"/>
  <c r="D37" i="1"/>
  <c r="C37" i="1"/>
  <c r="K36" i="1"/>
  <c r="J36" i="1"/>
  <c r="I36" i="1"/>
  <c r="D36" i="1"/>
  <c r="C36" i="1"/>
  <c r="K35" i="1"/>
  <c r="J35" i="1"/>
  <c r="I35" i="1"/>
  <c r="D35" i="1"/>
  <c r="C35" i="1"/>
  <c r="K33" i="1"/>
  <c r="J33" i="1"/>
  <c r="I33" i="1"/>
  <c r="D33" i="1"/>
  <c r="C33" i="1"/>
  <c r="K32" i="1"/>
  <c r="J32" i="1"/>
  <c r="I32" i="1"/>
  <c r="D32" i="1"/>
  <c r="C32" i="1"/>
  <c r="K31" i="1"/>
  <c r="J31" i="1"/>
  <c r="I31" i="1"/>
  <c r="D31" i="1"/>
  <c r="C31" i="1"/>
  <c r="K30" i="1"/>
  <c r="J30" i="1"/>
  <c r="I30" i="1"/>
  <c r="D30" i="1"/>
  <c r="C30" i="1"/>
  <c r="K29" i="1"/>
  <c r="J29" i="1"/>
  <c r="I29" i="1"/>
  <c r="D29" i="1"/>
  <c r="C29" i="1"/>
  <c r="K28" i="1"/>
  <c r="J28" i="1"/>
  <c r="I28" i="1"/>
  <c r="D28" i="1"/>
  <c r="C28" i="1"/>
  <c r="D22" i="1"/>
  <c r="D23" i="1"/>
  <c r="D24" i="1"/>
  <c r="D25" i="1"/>
  <c r="D21" i="1"/>
  <c r="D15" i="1"/>
  <c r="D16" i="1"/>
  <c r="D17" i="1"/>
  <c r="D18" i="1"/>
  <c r="D19" i="1"/>
  <c r="D8" i="1"/>
  <c r="D14" i="1"/>
  <c r="D9" i="1"/>
  <c r="D10" i="1"/>
  <c r="D11" i="1"/>
  <c r="C8" i="1"/>
  <c r="K26" i="1"/>
  <c r="J26" i="1"/>
  <c r="I26" i="1"/>
  <c r="C26" i="1"/>
  <c r="K25" i="1"/>
  <c r="J25" i="1"/>
  <c r="M25" i="1" s="1"/>
  <c r="I25" i="1"/>
  <c r="C25" i="1"/>
  <c r="K24" i="1"/>
  <c r="J24" i="1"/>
  <c r="I24" i="1"/>
  <c r="C24" i="1"/>
  <c r="K23" i="1"/>
  <c r="J23" i="1"/>
  <c r="L23" i="1" s="1"/>
  <c r="I23" i="1"/>
  <c r="C23" i="1"/>
  <c r="K22" i="1"/>
  <c r="J22" i="1"/>
  <c r="I22" i="1"/>
  <c r="C22" i="1"/>
  <c r="K21" i="1"/>
  <c r="J21" i="1"/>
  <c r="I21" i="1"/>
  <c r="C21" i="1"/>
  <c r="K19" i="1"/>
  <c r="J19" i="1"/>
  <c r="I19" i="1"/>
  <c r="C19" i="1"/>
  <c r="K18" i="1"/>
  <c r="J18" i="1"/>
  <c r="I18" i="1"/>
  <c r="C18" i="1"/>
  <c r="K17" i="1"/>
  <c r="J17" i="1"/>
  <c r="I17" i="1"/>
  <c r="C17" i="1"/>
  <c r="K15" i="1"/>
  <c r="J15" i="1"/>
  <c r="I15" i="1"/>
  <c r="K12" i="1"/>
  <c r="J12" i="1"/>
  <c r="I12" i="1"/>
  <c r="C12" i="1"/>
  <c r="K11" i="1"/>
  <c r="J11" i="1"/>
  <c r="I11" i="1"/>
  <c r="C11" i="1"/>
  <c r="K9" i="1"/>
  <c r="D150" i="1" l="1"/>
  <c r="D153" i="1"/>
  <c r="D127" i="1"/>
  <c r="C199" i="1"/>
  <c r="C126" i="1"/>
  <c r="C129" i="1"/>
  <c r="C164" i="1"/>
  <c r="M181" i="1"/>
  <c r="L97" i="1"/>
  <c r="M113" i="1"/>
  <c r="L140" i="1"/>
  <c r="L177" i="1"/>
  <c r="C193" i="1"/>
  <c r="D195" i="1"/>
  <c r="L183" i="1"/>
  <c r="D204" i="1"/>
  <c r="M201" i="1"/>
  <c r="L200" i="1"/>
  <c r="M183" i="1"/>
  <c r="M199" i="1"/>
  <c r="M200" i="1"/>
  <c r="L201" i="1"/>
  <c r="L186" i="1"/>
  <c r="L196" i="1"/>
  <c r="L182" i="1"/>
  <c r="M182" i="1"/>
  <c r="L181" i="1"/>
  <c r="L185" i="1"/>
  <c r="M197" i="1"/>
  <c r="M213" i="1"/>
  <c r="M216" i="1"/>
  <c r="L217" i="1"/>
  <c r="M217" i="1"/>
  <c r="L216" i="1"/>
  <c r="C216" i="1"/>
  <c r="C217" i="1"/>
  <c r="M214" i="1"/>
  <c r="L212" i="1"/>
  <c r="M212" i="1"/>
  <c r="M211" i="1"/>
  <c r="L209" i="1"/>
  <c r="M209" i="1"/>
  <c r="L208" i="1"/>
  <c r="M208" i="1"/>
  <c r="L207" i="1"/>
  <c r="M207" i="1"/>
  <c r="M206" i="1"/>
  <c r="L206" i="1"/>
  <c r="C206" i="1"/>
  <c r="C207" i="1"/>
  <c r="C208" i="1"/>
  <c r="C209" i="1"/>
  <c r="M204" i="1"/>
  <c r="L203" i="1"/>
  <c r="M203" i="1"/>
  <c r="L197" i="1"/>
  <c r="M196" i="1"/>
  <c r="M195" i="1"/>
  <c r="L195" i="1"/>
  <c r="L193" i="1"/>
  <c r="L192" i="1"/>
  <c r="M191" i="1"/>
  <c r="M190" i="1"/>
  <c r="L191" i="1"/>
  <c r="M193" i="1"/>
  <c r="M192" i="1"/>
  <c r="L190" i="1"/>
  <c r="M188" i="1"/>
  <c r="L187" i="1"/>
  <c r="M187" i="1"/>
  <c r="M186" i="1"/>
  <c r="M185" i="1"/>
  <c r="L188" i="1"/>
  <c r="L179" i="1"/>
  <c r="M179" i="1"/>
  <c r="M178" i="1"/>
  <c r="M177" i="1"/>
  <c r="M176" i="1"/>
  <c r="L176" i="1"/>
  <c r="L174" i="1"/>
  <c r="M174" i="1"/>
  <c r="M173" i="1"/>
  <c r="L172" i="1"/>
  <c r="M171" i="1"/>
  <c r="M170" i="1"/>
  <c r="L170" i="1"/>
  <c r="L171" i="1"/>
  <c r="M172" i="1"/>
  <c r="C171" i="1"/>
  <c r="D170" i="1"/>
  <c r="D172" i="1"/>
  <c r="D173" i="1"/>
  <c r="L168" i="1"/>
  <c r="M168" i="1"/>
  <c r="C168" i="1"/>
  <c r="L167" i="1"/>
  <c r="M167" i="1"/>
  <c r="L165" i="1"/>
  <c r="M165" i="1"/>
  <c r="M164" i="1"/>
  <c r="L162" i="1"/>
  <c r="L163" i="1"/>
  <c r="L164" i="1"/>
  <c r="M162" i="1"/>
  <c r="M163" i="1"/>
  <c r="L160" i="1"/>
  <c r="M160" i="1"/>
  <c r="L159" i="1"/>
  <c r="L158" i="1"/>
  <c r="M158" i="1"/>
  <c r="L156" i="1"/>
  <c r="M156" i="1"/>
  <c r="L155" i="1"/>
  <c r="L154" i="1"/>
  <c r="M153" i="1"/>
  <c r="M155" i="1"/>
  <c r="L153" i="1"/>
  <c r="L151" i="1"/>
  <c r="L149" i="1"/>
  <c r="M149" i="1"/>
  <c r="M147" i="1"/>
  <c r="M148" i="1"/>
  <c r="L150" i="1"/>
  <c r="L148" i="1"/>
  <c r="M145" i="1"/>
  <c r="L144" i="1"/>
  <c r="L145" i="1"/>
  <c r="M144" i="1"/>
  <c r="L142" i="1"/>
  <c r="M141" i="1"/>
  <c r="M140" i="1"/>
  <c r="M139" i="1"/>
  <c r="M142" i="1"/>
  <c r="D139" i="1"/>
  <c r="C140" i="1"/>
  <c r="L139" i="1"/>
  <c r="L137" i="1"/>
  <c r="M137" i="1"/>
  <c r="M135" i="1"/>
  <c r="M134" i="1"/>
  <c r="M136" i="1"/>
  <c r="L134" i="1"/>
  <c r="M132" i="1"/>
  <c r="L131" i="1"/>
  <c r="M130" i="1"/>
  <c r="L129" i="1"/>
  <c r="M129" i="1"/>
  <c r="L132" i="1"/>
  <c r="D130" i="1"/>
  <c r="L130" i="1"/>
  <c r="L127" i="1"/>
  <c r="M127" i="1"/>
  <c r="L125" i="1"/>
  <c r="M124" i="1"/>
  <c r="M123" i="1"/>
  <c r="L123" i="1"/>
  <c r="L124" i="1"/>
  <c r="L126" i="1"/>
  <c r="M125" i="1"/>
  <c r="M126" i="1"/>
  <c r="L121" i="1"/>
  <c r="M121" i="1"/>
  <c r="L120" i="1"/>
  <c r="M120" i="1"/>
  <c r="L119" i="1"/>
  <c r="M119" i="1"/>
  <c r="M118" i="1"/>
  <c r="L118" i="1"/>
  <c r="L116" i="1"/>
  <c r="M116" i="1"/>
  <c r="L115" i="1"/>
  <c r="L114" i="1"/>
  <c r="L113" i="1"/>
  <c r="M114" i="1"/>
  <c r="M115" i="1"/>
  <c r="L111" i="1"/>
  <c r="M111" i="1"/>
  <c r="L110" i="1"/>
  <c r="M110" i="1"/>
  <c r="M108" i="1"/>
  <c r="M109" i="1"/>
  <c r="L108" i="1"/>
  <c r="L109" i="1"/>
  <c r="L106" i="1"/>
  <c r="M106" i="1"/>
  <c r="M104" i="1"/>
  <c r="L28" i="1"/>
  <c r="M31" i="1"/>
  <c r="L40" i="1"/>
  <c r="M84" i="1"/>
  <c r="L104" i="1"/>
  <c r="L105" i="1"/>
  <c r="M49" i="1"/>
  <c r="L68" i="1"/>
  <c r="L78" i="1"/>
  <c r="L98" i="1"/>
  <c r="M102" i="1"/>
  <c r="L103" i="1"/>
  <c r="M105" i="1"/>
  <c r="L102" i="1"/>
  <c r="M103" i="1"/>
  <c r="M100" i="1"/>
  <c r="M99" i="1"/>
  <c r="L100" i="1"/>
  <c r="M97" i="1"/>
  <c r="L96" i="1"/>
  <c r="M98" i="1"/>
  <c r="M96" i="1"/>
  <c r="M94" i="1"/>
  <c r="M93" i="1"/>
  <c r="M92" i="1"/>
  <c r="L93" i="1"/>
  <c r="L94" i="1"/>
  <c r="L92" i="1"/>
  <c r="L90" i="1"/>
  <c r="M90" i="1"/>
  <c r="L89" i="1"/>
  <c r="M89" i="1"/>
  <c r="M87" i="1"/>
  <c r="L88" i="1"/>
  <c r="L87" i="1"/>
  <c r="M88" i="1"/>
  <c r="L85" i="1"/>
  <c r="M85" i="1"/>
  <c r="L84" i="1"/>
  <c r="M82" i="1"/>
  <c r="M81" i="1"/>
  <c r="L81" i="1"/>
  <c r="M83" i="1"/>
  <c r="L82" i="1"/>
  <c r="L83" i="1"/>
  <c r="L79" i="1"/>
  <c r="L77" i="1"/>
  <c r="M75" i="1"/>
  <c r="L76" i="1"/>
  <c r="M78" i="1"/>
  <c r="M76" i="1"/>
  <c r="M77" i="1"/>
  <c r="M79" i="1"/>
  <c r="L75" i="1"/>
  <c r="L73" i="1"/>
  <c r="M73" i="1"/>
  <c r="M71" i="1"/>
  <c r="M70" i="1"/>
  <c r="M72" i="1"/>
  <c r="L71" i="1"/>
  <c r="L70" i="1"/>
  <c r="L72" i="1"/>
  <c r="L67" i="1"/>
  <c r="M67" i="1"/>
  <c r="L66" i="1"/>
  <c r="M65" i="1"/>
  <c r="L65" i="1"/>
  <c r="M66" i="1"/>
  <c r="M68" i="1"/>
  <c r="M63" i="1"/>
  <c r="L62" i="1"/>
  <c r="M62" i="1"/>
  <c r="L61" i="1"/>
  <c r="M60" i="1"/>
  <c r="M59" i="1"/>
  <c r="L59" i="1"/>
  <c r="M61" i="1"/>
  <c r="L63" i="1"/>
  <c r="L60" i="1"/>
  <c r="L55" i="1"/>
  <c r="M55" i="1"/>
  <c r="L52" i="1"/>
  <c r="M53" i="1"/>
  <c r="L56" i="1"/>
  <c r="L54" i="1"/>
  <c r="M52" i="1"/>
  <c r="M56" i="1"/>
  <c r="L53" i="1"/>
  <c r="L57" i="1"/>
  <c r="L50" i="1"/>
  <c r="L47" i="1"/>
  <c r="L46" i="1"/>
  <c r="M48" i="1"/>
  <c r="M47" i="1"/>
  <c r="M50" i="1"/>
  <c r="L48" i="1"/>
  <c r="L44" i="1"/>
  <c r="M44" i="1"/>
  <c r="L43" i="1"/>
  <c r="L41" i="1"/>
  <c r="M41" i="1"/>
  <c r="M42" i="1"/>
  <c r="M43" i="1"/>
  <c r="L38" i="1"/>
  <c r="L37" i="1"/>
  <c r="L36" i="1"/>
  <c r="L35" i="1"/>
  <c r="M35" i="1"/>
  <c r="M37" i="1"/>
  <c r="M36" i="1"/>
  <c r="M38" i="1"/>
  <c r="L33" i="1"/>
  <c r="M33" i="1"/>
  <c r="L32" i="1"/>
  <c r="M32" i="1"/>
  <c r="L31" i="1"/>
  <c r="M29" i="1"/>
  <c r="M28" i="1"/>
  <c r="M30" i="1"/>
  <c r="L29" i="1"/>
  <c r="L30" i="1"/>
  <c r="L26" i="1"/>
  <c r="L24" i="1"/>
  <c r="M22" i="1"/>
  <c r="M23" i="1"/>
  <c r="M21" i="1"/>
  <c r="M24" i="1"/>
  <c r="L21" i="1"/>
  <c r="L22" i="1"/>
  <c r="L25" i="1"/>
  <c r="M26" i="1"/>
  <c r="L19" i="1"/>
  <c r="M19" i="1"/>
  <c r="L18" i="1"/>
  <c r="M18" i="1"/>
  <c r="L12" i="1"/>
  <c r="L17" i="1"/>
  <c r="M17" i="1"/>
  <c r="L15" i="1"/>
  <c r="M15" i="1"/>
  <c r="M12" i="1"/>
  <c r="M11" i="1"/>
  <c r="L11" i="1"/>
  <c r="K16" i="1"/>
  <c r="J16" i="1"/>
  <c r="I16" i="1"/>
  <c r="C16" i="1"/>
  <c r="K14" i="1"/>
  <c r="J14" i="1"/>
  <c r="I14" i="1"/>
  <c r="C15" i="1"/>
  <c r="C14" i="1"/>
  <c r="K10" i="1"/>
  <c r="J10" i="1"/>
  <c r="I10" i="1"/>
  <c r="C10" i="1"/>
  <c r="C9" i="1"/>
  <c r="J9" i="1"/>
  <c r="I9" i="1"/>
  <c r="L16" i="1" l="1"/>
  <c r="L10" i="1"/>
  <c r="L14" i="1"/>
  <c r="L9" i="1"/>
  <c r="M10" i="1"/>
  <c r="M16" i="1"/>
  <c r="M14" i="1"/>
  <c r="M9" i="1"/>
</calcChain>
</file>

<file path=xl/sharedStrings.xml><?xml version="1.0" encoding="utf-8"?>
<sst xmlns="http://schemas.openxmlformats.org/spreadsheetml/2006/main" count="236" uniqueCount="89">
  <si>
    <t>Berechnet für Continuous Conduction Mode</t>
  </si>
  <si>
    <t>U2/U1</t>
  </si>
  <si>
    <t>P2/P1</t>
  </si>
  <si>
    <t>d</t>
  </si>
  <si>
    <t>Ch1</t>
  </si>
  <si>
    <t>CH2</t>
  </si>
  <si>
    <t>CH3</t>
  </si>
  <si>
    <t>CH4</t>
  </si>
  <si>
    <t>comment</t>
  </si>
  <si>
    <t>Gerät</t>
  </si>
  <si>
    <t>Art</t>
  </si>
  <si>
    <t>Verwendung</t>
  </si>
  <si>
    <t>Anzahl</t>
  </si>
  <si>
    <t>Tektronix AFG3022B</t>
  </si>
  <si>
    <t>Funktionsgenerator</t>
  </si>
  <si>
    <t>Schalter-Ansteuersignal</t>
  </si>
  <si>
    <t>Tektronix DMM 4040 6-1/2</t>
  </si>
  <si>
    <t>Digitales Multimeter</t>
  </si>
  <si>
    <t>Labor Netzteil</t>
  </si>
  <si>
    <t>Digitales Oszilloskop</t>
  </si>
  <si>
    <t>Messsignale im Zeitbereich</t>
  </si>
  <si>
    <t>Vout,Iout, Vin, Iin  RMS Messung</t>
  </si>
  <si>
    <t>Tektronix MSO 3034</t>
  </si>
  <si>
    <t>Versorgung DCDC, Treiber</t>
  </si>
  <si>
    <t>GWINSTEK SPD-3606</t>
  </si>
  <si>
    <t>Elektronische Last</t>
  </si>
  <si>
    <t>GOSSEN METRAWATT 32EL300R30</t>
  </si>
  <si>
    <t>Stellbare Ohm'sche Last</t>
  </si>
  <si>
    <t>Messwerte</t>
  </si>
  <si>
    <t>Rechenwerte</t>
  </si>
  <si>
    <t>Stellwert</t>
  </si>
  <si>
    <t>U1 [V]</t>
  </si>
  <si>
    <t>I1 [A]</t>
  </si>
  <si>
    <t>U2 [V]</t>
  </si>
  <si>
    <t>I2 [A]</t>
  </si>
  <si>
    <t>P1 [W]</t>
  </si>
  <si>
    <t>P2 [W]</t>
  </si>
  <si>
    <t>Pdiff [W]</t>
  </si>
  <si>
    <t>HIKMICRO HM-TP42-3AQF/W-Pocket2</t>
  </si>
  <si>
    <t>Thermo Kamera</t>
  </si>
  <si>
    <t>Halbleiter Temperaturüberwachung</t>
  </si>
  <si>
    <t>Ansteuerung</t>
  </si>
  <si>
    <t>Ü</t>
  </si>
  <si>
    <t>Ü_ideal</t>
  </si>
  <si>
    <t>Messung</t>
  </si>
  <si>
    <t>Name</t>
  </si>
  <si>
    <r>
      <t>R_L [</t>
    </r>
    <r>
      <rPr>
        <b/>
        <sz val="11"/>
        <color theme="1"/>
        <rFont val="Arial"/>
        <family val="2"/>
      </rPr>
      <t>Ω</t>
    </r>
    <r>
      <rPr>
        <b/>
        <sz val="11"/>
        <color theme="1"/>
        <rFont val="Calibri"/>
        <family val="2"/>
      </rPr>
      <t>]</t>
    </r>
  </si>
  <si>
    <t>d und U1 werden nährungsweise Konstant gehalten / jeder erste Wert in einem Messreihen block ist nahe am "Anfang des CCM" =&gt; critical conduction mode aufgenommen</t>
  </si>
  <si>
    <t>SerienWdst des Kabels ist hier nicht mit erfasst</t>
  </si>
  <si>
    <t>Oszi-Bild</t>
  </si>
  <si>
    <t>Thermo-Bild</t>
  </si>
  <si>
    <t>Ref [M_d_Vin_Vout_Pout]</t>
  </si>
  <si>
    <t>Passiver Leistungswiderstand mit Kühlkörper</t>
  </si>
  <si>
    <t>1k Ohm Leistungswiderstand</t>
  </si>
  <si>
    <t>Ohmsche Last</t>
  </si>
  <si>
    <t>Wirkungsgradkurven</t>
  </si>
  <si>
    <t>U1 und U2 werden nährungsweise Konstant gehalten, Converter im dcm und ccm Betrieb je nach Last</t>
  </si>
  <si>
    <t>Betriebszustand</t>
  </si>
  <si>
    <t>Referenz [M_d_Vin_Vout_Pout]</t>
  </si>
  <si>
    <t>M</t>
  </si>
  <si>
    <t>dcm</t>
  </si>
  <si>
    <t>passiver wdst</t>
  </si>
  <si>
    <t>ccm</t>
  </si>
  <si>
    <t>tek00000</t>
  </si>
  <si>
    <t>-</t>
  </si>
  <si>
    <t>SIG1</t>
  </si>
  <si>
    <t>SIG2</t>
  </si>
  <si>
    <t>IL11</t>
  </si>
  <si>
    <t>Thermische EInschwingzeit: 2-5 min</t>
  </si>
  <si>
    <t>tek00001</t>
  </si>
  <si>
    <t>tek00002</t>
  </si>
  <si>
    <t>tek00003</t>
  </si>
  <si>
    <t>tek00004</t>
  </si>
  <si>
    <t>tek00005</t>
  </si>
  <si>
    <t>tek00006</t>
  </si>
  <si>
    <t>tek00007</t>
  </si>
  <si>
    <t>tek00008</t>
  </si>
  <si>
    <t>tek00009</t>
  </si>
  <si>
    <t>tek00010</t>
  </si>
  <si>
    <t>tek00011</t>
  </si>
  <si>
    <t>ccm, strombegrenzt durch Netzteil Ausgangsstrom</t>
  </si>
  <si>
    <t>HM20260319174948
HM20260319175024
HM20260319175038
HM20260319175052</t>
  </si>
  <si>
    <t>TCP202 AC/DC Current Probe</t>
  </si>
  <si>
    <t>Strommesszange</t>
  </si>
  <si>
    <t>Isolierte Strommessung im Zeitbereich</t>
  </si>
  <si>
    <t>nach messung am 07.05.2026</t>
  </si>
  <si>
    <t>Ref Messung für Stationäre Messungen</t>
  </si>
  <si>
    <t>Ordner:</t>
  </si>
  <si>
    <t>IL21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</si>
</sst>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57150</xdr:rowOff>
    </xdr:from>
    <xdr:ext cx="1722395" cy="349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D58F7E2-D8DC-E6CA-007D-2DA79C2ED4E2}"/>
                </a:ext>
              </a:extLst>
            </xdr:cNvPr>
            <xdr:cNvSpPr txBox="1"/>
          </xdr:nvSpPr>
          <xdr:spPr>
            <a:xfrm>
              <a:off x="647700" y="247650"/>
              <a:ext cx="1722395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e-A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</m:e>
                          <m:sub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e-A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</m:e>
                          <m:sub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de-AT" sz="1100" i="1">
                        <a:latin typeface="Cambria Math" panose="02040503050406030204" pitchFamily="18" charset="0"/>
                      </a:rPr>
                      <m:t>=2</m:t>
                    </m:r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1−2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de-AT" sz="1100" i="1">
                        <a:latin typeface="Cambria Math" panose="02040503050406030204" pitchFamily="18" charset="0"/>
                      </a:rPr>
                      <m:t>−1=</m:t>
                    </m:r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1−2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de-AT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D58F7E2-D8DC-E6CA-007D-2DA79C2ED4E2}"/>
                </a:ext>
              </a:extLst>
            </xdr:cNvPr>
            <xdr:cNvSpPr txBox="1"/>
          </xdr:nvSpPr>
          <xdr:spPr>
            <a:xfrm>
              <a:off x="647700" y="247650"/>
              <a:ext cx="1722395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AT" sz="1100" i="0">
                  <a:latin typeface="Cambria Math" panose="02040503050406030204" pitchFamily="18" charset="0"/>
                </a:rPr>
                <a:t>𝑈_2/𝑈_1 =2 (1−𝑑)/(1−2𝑑)−1=1/(1−2𝑑)</a:t>
              </a:r>
              <a:endParaRPr lang="de-A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24"/>
  <sheetViews>
    <sheetView zoomScale="115" zoomScaleNormal="115" workbookViewId="0">
      <pane xSplit="1" ySplit="7" topLeftCell="B164" activePane="bottomRight" state="frozen"/>
      <selection pane="topRight" activeCell="B1" sqref="B1"/>
      <selection pane="bottomLeft" activeCell="A8" sqref="A8"/>
      <selection pane="bottomRight" activeCell="N121" sqref="N121"/>
    </sheetView>
  </sheetViews>
  <sheetFormatPr baseColWidth="10" defaultColWidth="9.140625" defaultRowHeight="15" x14ac:dyDescent="0.25"/>
  <cols>
    <col min="2" max="2" width="15.7109375" style="6" customWidth="1"/>
    <col min="3" max="4" width="12.140625" style="5" bestFit="1" customWidth="1"/>
    <col min="5" max="5" width="12.42578125" style="6" bestFit="1" customWidth="1"/>
    <col min="6" max="7" width="9.140625" style="6"/>
    <col min="8" max="8" width="9.28515625" style="6" bestFit="1" customWidth="1"/>
    <col min="9" max="11" width="9.5703125" style="5" bestFit="1" customWidth="1"/>
    <col min="12" max="12" width="9.28515625" style="5" bestFit="1" customWidth="1"/>
    <col min="13" max="13" width="9.140625" style="5"/>
    <col min="14" max="14" width="11.5703125" style="6" customWidth="1"/>
  </cols>
  <sheetData>
    <row r="1" spans="2:14" x14ac:dyDescent="0.25">
      <c r="B1" s="1" t="s">
        <v>0</v>
      </c>
      <c r="C1"/>
      <c r="D1"/>
      <c r="E1"/>
      <c r="F1"/>
      <c r="G1"/>
      <c r="H1"/>
      <c r="I1"/>
      <c r="J1"/>
      <c r="K1"/>
      <c r="L1"/>
      <c r="M1"/>
      <c r="N1" s="1"/>
    </row>
    <row r="2" spans="2:14" x14ac:dyDescent="0.25">
      <c r="B2"/>
      <c r="C2"/>
      <c r="D2"/>
      <c r="E2"/>
      <c r="F2"/>
      <c r="G2"/>
      <c r="H2"/>
      <c r="I2"/>
      <c r="J2"/>
      <c r="K2"/>
      <c r="L2"/>
      <c r="M2"/>
      <c r="N2" s="1"/>
    </row>
    <row r="3" spans="2:14" x14ac:dyDescent="0.25">
      <c r="B3"/>
      <c r="C3"/>
      <c r="D3"/>
      <c r="E3"/>
      <c r="F3"/>
      <c r="G3"/>
      <c r="H3"/>
      <c r="I3"/>
      <c r="J3"/>
      <c r="K3"/>
      <c r="L3"/>
      <c r="M3"/>
      <c r="N3" s="1"/>
    </row>
    <row r="4" spans="2:14" x14ac:dyDescent="0.25">
      <c r="B4" s="1" t="s">
        <v>47</v>
      </c>
      <c r="C4"/>
      <c r="D4"/>
      <c r="E4"/>
      <c r="F4"/>
      <c r="G4"/>
      <c r="H4"/>
      <c r="I4"/>
      <c r="J4"/>
      <c r="K4"/>
      <c r="L4"/>
      <c r="M4"/>
      <c r="N4" s="1"/>
    </row>
    <row r="5" spans="2:14" x14ac:dyDescent="0.25">
      <c r="B5" s="1" t="s">
        <v>68</v>
      </c>
      <c r="C5"/>
      <c r="D5"/>
      <c r="E5"/>
      <c r="F5"/>
      <c r="G5"/>
      <c r="H5"/>
      <c r="I5"/>
      <c r="J5"/>
      <c r="K5"/>
      <c r="L5"/>
      <c r="M5"/>
      <c r="N5" s="1" t="s">
        <v>48</v>
      </c>
    </row>
    <row r="6" spans="2:14" x14ac:dyDescent="0.25">
      <c r="B6" s="6" t="s">
        <v>41</v>
      </c>
      <c r="C6" s="5" t="s">
        <v>43</v>
      </c>
      <c r="D6" s="5" t="s">
        <v>44</v>
      </c>
      <c r="E6" s="18" t="s">
        <v>28</v>
      </c>
      <c r="F6" s="18"/>
      <c r="G6" s="18"/>
      <c r="H6" s="18"/>
      <c r="I6" s="19" t="s">
        <v>29</v>
      </c>
      <c r="J6" s="19"/>
      <c r="K6" s="19"/>
      <c r="L6" s="19"/>
      <c r="M6" s="19"/>
      <c r="N6" s="6" t="s">
        <v>30</v>
      </c>
    </row>
    <row r="7" spans="2:14" x14ac:dyDescent="0.25">
      <c r="B7" s="6" t="s">
        <v>3</v>
      </c>
      <c r="C7" s="5" t="s">
        <v>42</v>
      </c>
      <c r="D7" s="5" t="s">
        <v>45</v>
      </c>
      <c r="E7" s="6" t="s">
        <v>31</v>
      </c>
      <c r="F7" s="6" t="s">
        <v>32</v>
      </c>
      <c r="G7" s="6" t="s">
        <v>33</v>
      </c>
      <c r="H7" s="6" t="s">
        <v>34</v>
      </c>
      <c r="I7" s="5" t="s">
        <v>1</v>
      </c>
      <c r="J7" s="5" t="s">
        <v>35</v>
      </c>
      <c r="K7" s="5" t="s">
        <v>36</v>
      </c>
      <c r="L7" s="5" t="s">
        <v>37</v>
      </c>
      <c r="M7" s="5" t="s">
        <v>2</v>
      </c>
      <c r="N7" s="6" t="s">
        <v>46</v>
      </c>
    </row>
    <row r="8" spans="2:14" x14ac:dyDescent="0.25">
      <c r="B8" s="6">
        <v>0.05</v>
      </c>
      <c r="C8" s="4">
        <f>1/(1-2*B8)</f>
        <v>1.1111111111111112</v>
      </c>
      <c r="D8" s="4" t="str">
        <f>TEXT(ROUND(E8,3),"#,#")&amp;"_"&amp;TEXT(B8,"0,##")</f>
        <v>3,3_0,05</v>
      </c>
      <c r="E8" s="7">
        <v>3.3048999999999999</v>
      </c>
      <c r="F8" s="7">
        <v>0.44269999999999998</v>
      </c>
      <c r="G8" s="7">
        <v>2.7921999999999998</v>
      </c>
      <c r="H8" s="7">
        <v>0.38750000000000001</v>
      </c>
      <c r="I8" s="4">
        <f>G8/E8</f>
        <v>0.84486671306242245</v>
      </c>
      <c r="J8" s="4">
        <f>F8*E8</f>
        <v>1.46307923</v>
      </c>
      <c r="K8" s="4">
        <f>H8*G8</f>
        <v>1.0819775</v>
      </c>
      <c r="L8" s="4">
        <f>J8-K8</f>
        <v>0.38110172999999992</v>
      </c>
      <c r="M8" s="4">
        <f>K8/J8</f>
        <v>0.73952078453058212</v>
      </c>
      <c r="N8" s="6">
        <v>7</v>
      </c>
    </row>
    <row r="9" spans="2:14" x14ac:dyDescent="0.25">
      <c r="B9" s="6">
        <v>0.05</v>
      </c>
      <c r="C9" s="4">
        <f>1/(1-2*B9)</f>
        <v>1.1111111111111112</v>
      </c>
      <c r="D9" s="4" t="str">
        <f t="shared" ref="D9:D11" si="0">TEXT(ROUND(E9,3),"#,#")&amp;"_"&amp;TEXT(B9,"0,##")</f>
        <v>3,3_0,05</v>
      </c>
      <c r="E9" s="7">
        <v>3.3048000000000002</v>
      </c>
      <c r="F9" s="7">
        <v>1.2649999999999999</v>
      </c>
      <c r="G9" s="7">
        <v>2.6230000000000002</v>
      </c>
      <c r="H9" s="7">
        <v>1.1205000000000001</v>
      </c>
      <c r="I9" s="4">
        <f>G9/E9</f>
        <v>0.79369402081820384</v>
      </c>
      <c r="J9" s="4">
        <f>F9*E9</f>
        <v>4.1805719999999997</v>
      </c>
      <c r="K9" s="4">
        <f>H9*G9</f>
        <v>2.9390715000000003</v>
      </c>
      <c r="L9" s="4">
        <f>J9-K9</f>
        <v>1.2415004999999995</v>
      </c>
      <c r="M9" s="4">
        <f>K9/J9</f>
        <v>0.70303094887493878</v>
      </c>
      <c r="N9" s="6">
        <v>2</v>
      </c>
    </row>
    <row r="10" spans="2:14" x14ac:dyDescent="0.25">
      <c r="B10" s="6">
        <v>0.05</v>
      </c>
      <c r="C10" s="4">
        <f>1/(1-2*B10)</f>
        <v>1.1111111111111112</v>
      </c>
      <c r="D10" s="4" t="str">
        <f t="shared" si="0"/>
        <v>3,3_0,05</v>
      </c>
      <c r="E10" s="7">
        <v>3.2970000000000002</v>
      </c>
      <c r="F10" s="7">
        <v>1.6953</v>
      </c>
      <c r="G10" s="7">
        <v>2.5495000000000001</v>
      </c>
      <c r="H10" s="7">
        <v>1.5014000000000001</v>
      </c>
      <c r="I10" s="4">
        <f>G10/E10</f>
        <v>0.77327873824689108</v>
      </c>
      <c r="J10" s="4">
        <f>F10*E10</f>
        <v>5.5894041000000003</v>
      </c>
      <c r="K10" s="4">
        <f>H10*G10</f>
        <v>3.8278193000000003</v>
      </c>
      <c r="L10" s="4">
        <f t="shared" ref="L10" si="1">J10-K10</f>
        <v>1.7615848000000001</v>
      </c>
      <c r="M10" s="4">
        <f t="shared" ref="M10" si="2">K10/J10</f>
        <v>0.68483495405172079</v>
      </c>
      <c r="N10" s="6">
        <v>1.4</v>
      </c>
    </row>
    <row r="11" spans="2:14" x14ac:dyDescent="0.25">
      <c r="B11" s="6">
        <v>0.05</v>
      </c>
      <c r="C11" s="4">
        <f>1/(1-2*B11)</f>
        <v>1.1111111111111112</v>
      </c>
      <c r="D11" s="4" t="str">
        <f t="shared" si="0"/>
        <v>3,3_0,05</v>
      </c>
      <c r="E11" s="7">
        <v>3.3012999999999999</v>
      </c>
      <c r="F11" s="7">
        <v>2.6088</v>
      </c>
      <c r="G11" s="7">
        <v>2.419</v>
      </c>
      <c r="H11" s="7">
        <v>2.3134999999999999</v>
      </c>
      <c r="I11" s="4">
        <f>G11/E11</f>
        <v>0.73274164722987922</v>
      </c>
      <c r="J11" s="4">
        <f>F11*E11</f>
        <v>8.6124314399999999</v>
      </c>
      <c r="K11" s="4">
        <f>H11*G11</f>
        <v>5.5963564999999997</v>
      </c>
      <c r="L11" s="4">
        <f>J11-K11</f>
        <v>3.0160749400000002</v>
      </c>
      <c r="M11" s="4">
        <f>K11/J11</f>
        <v>0.64979983167215782</v>
      </c>
      <c r="N11" s="6">
        <v>0.8</v>
      </c>
    </row>
    <row r="12" spans="2:14" x14ac:dyDescent="0.25">
      <c r="B12" s="6">
        <v>0.05</v>
      </c>
      <c r="C12" s="4">
        <f>1/(1-2*B12)</f>
        <v>1.1111111111111112</v>
      </c>
      <c r="D12" s="4" t="str">
        <f>TEXT(ROUND(E12,3),"#,#")&amp;"_"&amp;TEXT(B12,"0,##")</f>
        <v>3,3_0,05</v>
      </c>
      <c r="E12" s="7">
        <v>3.3056000000000001</v>
      </c>
      <c r="F12" s="7">
        <v>3.6236999999999999</v>
      </c>
      <c r="G12" s="7">
        <v>2.2719999999999998</v>
      </c>
      <c r="H12" s="7">
        <v>3.2192599999999998</v>
      </c>
      <c r="I12" s="4">
        <f>G12/E12</f>
        <v>0.68731848983543076</v>
      </c>
      <c r="J12" s="4">
        <f>F12*E12</f>
        <v>11.97850272</v>
      </c>
      <c r="K12" s="4">
        <f>H12*G12</f>
        <v>7.3141587199999991</v>
      </c>
      <c r="L12" s="4">
        <f>J12-K12</f>
        <v>4.6643440000000007</v>
      </c>
      <c r="M12" s="4">
        <f>K12/J12</f>
        <v>0.61060709263669966</v>
      </c>
      <c r="N12" s="6">
        <v>0.5</v>
      </c>
    </row>
    <row r="14" spans="2:14" x14ac:dyDescent="0.25">
      <c r="B14" s="6">
        <v>0.05</v>
      </c>
      <c r="C14" s="4">
        <f t="shared" ref="C14:C19" si="3">1/(1-2*B14)</f>
        <v>1.1111111111111112</v>
      </c>
      <c r="D14" s="4" t="str">
        <f>TEXT(ROUND(E14,3),"#")&amp;"_"&amp;TEXT(B14,"0,##")</f>
        <v>5_0,05</v>
      </c>
      <c r="E14" s="7">
        <v>5.016</v>
      </c>
      <c r="F14" s="7">
        <v>0.22588</v>
      </c>
      <c r="G14" s="7">
        <v>4.8673000000000002</v>
      </c>
      <c r="H14" s="7">
        <v>0.19325000000000001</v>
      </c>
      <c r="I14" s="4">
        <f t="shared" ref="I14:I19" si="4">G14/E14</f>
        <v>0.9703548644338118</v>
      </c>
      <c r="J14" s="4">
        <f t="shared" ref="J14:J19" si="5">F14*E14</f>
        <v>1.1330140799999999</v>
      </c>
      <c r="K14" s="4">
        <f t="shared" ref="K14:K19" si="6">H14*G14</f>
        <v>0.94060572500000006</v>
      </c>
      <c r="L14" s="4">
        <f>J14-K14</f>
        <v>0.19240835499999986</v>
      </c>
      <c r="M14" s="4">
        <f>K14/J14</f>
        <v>0.83018008478764904</v>
      </c>
      <c r="N14" s="6">
        <v>25</v>
      </c>
    </row>
    <row r="15" spans="2:14" x14ac:dyDescent="0.25">
      <c r="B15" s="6">
        <v>0.05</v>
      </c>
      <c r="C15" s="4">
        <f t="shared" si="3"/>
        <v>1.1111111111111112</v>
      </c>
      <c r="D15" s="4" t="str">
        <f t="shared" ref="D15:D19" si="7">TEXT(ROUND(E15,3),"#")&amp;"_"&amp;TEXT(B15,"0,##")</f>
        <v>5_0,05</v>
      </c>
      <c r="E15" s="7">
        <v>5.0010000000000003</v>
      </c>
      <c r="F15" s="7">
        <v>0.52878000000000003</v>
      </c>
      <c r="G15" s="7">
        <v>4.7039999999999997</v>
      </c>
      <c r="H15" s="7">
        <v>0.46160000000000001</v>
      </c>
      <c r="I15" s="4">
        <f t="shared" si="4"/>
        <v>0.94061187762447496</v>
      </c>
      <c r="J15" s="4">
        <f t="shared" si="5"/>
        <v>2.6444287800000001</v>
      </c>
      <c r="K15" s="4">
        <f t="shared" si="6"/>
        <v>2.1713664000000001</v>
      </c>
      <c r="L15" s="4">
        <f t="shared" ref="L15" si="8">J15-K15</f>
        <v>0.47306238</v>
      </c>
      <c r="M15" s="4">
        <f t="shared" ref="M15" si="9">K15/J15</f>
        <v>0.82110980504455111</v>
      </c>
      <c r="N15" s="6">
        <v>10</v>
      </c>
    </row>
    <row r="16" spans="2:14" x14ac:dyDescent="0.25">
      <c r="B16" s="6">
        <v>0.05</v>
      </c>
      <c r="C16" s="4">
        <f t="shared" si="3"/>
        <v>1.1111111111111112</v>
      </c>
      <c r="D16" s="4" t="str">
        <f t="shared" si="7"/>
        <v>5_0,05</v>
      </c>
      <c r="E16" s="7">
        <v>5.0255000000000001</v>
      </c>
      <c r="F16" s="7">
        <v>1.0136000000000001</v>
      </c>
      <c r="G16" s="7">
        <v>4.6086999999999998</v>
      </c>
      <c r="H16" s="7">
        <v>0.89187000000000005</v>
      </c>
      <c r="I16" s="4">
        <f t="shared" si="4"/>
        <v>0.91706297880807874</v>
      </c>
      <c r="J16" s="4">
        <f t="shared" si="5"/>
        <v>5.0938468000000006</v>
      </c>
      <c r="K16" s="4">
        <f t="shared" si="6"/>
        <v>4.1103612690000002</v>
      </c>
      <c r="L16" s="4">
        <f t="shared" ref="L16" si="10">J16-K16</f>
        <v>0.98348553100000036</v>
      </c>
      <c r="M16" s="4">
        <f t="shared" ref="M16" si="11">K16/J16</f>
        <v>0.80692675504100353</v>
      </c>
      <c r="N16" s="6">
        <v>5</v>
      </c>
    </row>
    <row r="17" spans="2:14" x14ac:dyDescent="0.25">
      <c r="B17" s="6">
        <v>0.05</v>
      </c>
      <c r="C17" s="4">
        <f t="shared" si="3"/>
        <v>1.1111111111111112</v>
      </c>
      <c r="D17" s="4" t="str">
        <f t="shared" si="7"/>
        <v>5_0,05</v>
      </c>
      <c r="E17" s="7">
        <v>5.0235000000000003</v>
      </c>
      <c r="F17" s="7">
        <v>1.40218</v>
      </c>
      <c r="G17" s="7">
        <v>4.5221</v>
      </c>
      <c r="H17" s="7">
        <v>1.2369000000000001</v>
      </c>
      <c r="I17" s="4">
        <f t="shared" si="4"/>
        <v>0.90018911117746581</v>
      </c>
      <c r="J17" s="4">
        <f t="shared" si="5"/>
        <v>7.0438512300000005</v>
      </c>
      <c r="K17" s="4">
        <f t="shared" si="6"/>
        <v>5.5933854900000002</v>
      </c>
      <c r="L17" s="4">
        <f t="shared" ref="L17" si="12">J17-K17</f>
        <v>1.4504657400000003</v>
      </c>
      <c r="M17" s="4">
        <f t="shared" ref="M17" si="13">K17/J17</f>
        <v>0.79408058281776062</v>
      </c>
      <c r="N17" s="6">
        <v>3.5</v>
      </c>
    </row>
    <row r="18" spans="2:14" x14ac:dyDescent="0.25">
      <c r="B18" s="6">
        <v>0.05</v>
      </c>
      <c r="C18" s="4">
        <f t="shared" si="3"/>
        <v>1.1111111111111112</v>
      </c>
      <c r="D18" s="4" t="str">
        <f t="shared" si="7"/>
        <v>5_0,05</v>
      </c>
      <c r="E18" s="7">
        <v>5.0251000000000001</v>
      </c>
      <c r="F18" s="7">
        <v>1.8988799999999999</v>
      </c>
      <c r="G18" s="7">
        <v>4.4476000000000004</v>
      </c>
      <c r="H18" s="7">
        <v>1.6776800000000001</v>
      </c>
      <c r="I18" s="4">
        <f t="shared" si="4"/>
        <v>0.88507691389226095</v>
      </c>
      <c r="J18" s="4">
        <f t="shared" si="5"/>
        <v>9.5420618879999992</v>
      </c>
      <c r="K18" s="4">
        <f t="shared" si="6"/>
        <v>7.4616495680000012</v>
      </c>
      <c r="L18" s="4">
        <f t="shared" ref="L18" si="14">J18-K18</f>
        <v>2.080412319999998</v>
      </c>
      <c r="M18" s="4">
        <f t="shared" ref="M18" si="15">K18/J18</f>
        <v>0.78197455178777409</v>
      </c>
      <c r="N18" s="6">
        <v>2.5</v>
      </c>
    </row>
    <row r="19" spans="2:14" x14ac:dyDescent="0.25">
      <c r="B19" s="6">
        <v>0.05</v>
      </c>
      <c r="C19" s="4">
        <f t="shared" si="3"/>
        <v>1.1111111111111112</v>
      </c>
      <c r="D19" s="4" t="str">
        <f t="shared" si="7"/>
        <v>5_0,05</v>
      </c>
      <c r="E19" s="7">
        <v>5.0303000000000004</v>
      </c>
      <c r="F19" s="7">
        <v>4.0587999999999997</v>
      </c>
      <c r="G19" s="7">
        <v>4.1147</v>
      </c>
      <c r="H19" s="7">
        <v>3.5956000000000001</v>
      </c>
      <c r="I19" s="4">
        <f t="shared" si="4"/>
        <v>0.81798302288133906</v>
      </c>
      <c r="J19" s="4">
        <f t="shared" si="5"/>
        <v>20.416981639999999</v>
      </c>
      <c r="K19" s="4">
        <f t="shared" si="6"/>
        <v>14.794815320000001</v>
      </c>
      <c r="L19" s="4">
        <f t="shared" ref="L19" si="16">J19-K19</f>
        <v>5.6221663199999981</v>
      </c>
      <c r="M19" s="4">
        <f t="shared" ref="M19" si="17">K19/J19</f>
        <v>0.72463283657045019</v>
      </c>
      <c r="N19" s="6">
        <v>1</v>
      </c>
    </row>
    <row r="21" spans="2:14" x14ac:dyDescent="0.25">
      <c r="B21" s="6">
        <v>0.05</v>
      </c>
      <c r="C21" s="4">
        <f t="shared" ref="C21:C26" si="18">1/(1-2*B21)</f>
        <v>1.1111111111111112</v>
      </c>
      <c r="D21" s="4" t="str">
        <f>TEXT(ROUND(E21,3),"#")&amp;"_"&amp;TEXT(B21,"0,##")</f>
        <v>9_0,05</v>
      </c>
      <c r="E21" s="7">
        <v>9.0446000000000009</v>
      </c>
      <c r="F21" s="7">
        <v>0.15554000000000001</v>
      </c>
      <c r="G21" s="7">
        <v>9.6344999999999992</v>
      </c>
      <c r="H21" s="7">
        <v>0.12792500000000001</v>
      </c>
      <c r="I21" s="4">
        <f t="shared" ref="I21:I26" si="19">G21/E21</f>
        <v>1.065221236981182</v>
      </c>
      <c r="J21" s="4">
        <f t="shared" ref="J21:J26" si="20">F21*E21</f>
        <v>1.4067970840000001</v>
      </c>
      <c r="K21" s="4">
        <f t="shared" ref="K21:K26" si="21">H21*G21</f>
        <v>1.2324934125</v>
      </c>
      <c r="L21" s="4">
        <f>J21-K21</f>
        <v>0.17430367150000015</v>
      </c>
      <c r="M21" s="4">
        <f>K21/J21</f>
        <v>0.87609892465486505</v>
      </c>
      <c r="N21" s="6">
        <v>75</v>
      </c>
    </row>
    <row r="22" spans="2:14" x14ac:dyDescent="0.25">
      <c r="B22" s="6">
        <v>0.05</v>
      </c>
      <c r="C22" s="4">
        <f t="shared" si="18"/>
        <v>1.1111111111111112</v>
      </c>
      <c r="D22" s="4" t="str">
        <f t="shared" ref="D22:D25" si="22">TEXT(ROUND(E22,3),"#")&amp;"_"&amp;TEXT(B22,"0,##")</f>
        <v>9_0,05</v>
      </c>
      <c r="E22" s="7">
        <v>9.0176999999999996</v>
      </c>
      <c r="F22" s="7">
        <v>0.36270000000000002</v>
      </c>
      <c r="G22" s="7">
        <v>9.3816000000000006</v>
      </c>
      <c r="H22" s="7">
        <v>0.3105</v>
      </c>
      <c r="I22" s="4">
        <f t="shared" si="19"/>
        <v>1.040353970524635</v>
      </c>
      <c r="J22" s="4">
        <f t="shared" si="20"/>
        <v>3.2707197900000002</v>
      </c>
      <c r="K22" s="4">
        <f t="shared" si="21"/>
        <v>2.9129868000000001</v>
      </c>
      <c r="L22" s="4">
        <f t="shared" ref="L22:L26" si="23">J22-K22</f>
        <v>0.35773299000000014</v>
      </c>
      <c r="M22" s="4">
        <f t="shared" ref="M22:M26" si="24">K22/J22</f>
        <v>0.89062560752108944</v>
      </c>
      <c r="N22" s="6">
        <v>30</v>
      </c>
    </row>
    <row r="23" spans="2:14" x14ac:dyDescent="0.25">
      <c r="B23" s="6">
        <v>0.05</v>
      </c>
      <c r="C23" s="4">
        <f t="shared" si="18"/>
        <v>1.1111111111111112</v>
      </c>
      <c r="D23" s="4" t="str">
        <f t="shared" si="22"/>
        <v>9_0,05</v>
      </c>
      <c r="E23" s="7">
        <v>9.0132999999999992</v>
      </c>
      <c r="F23" s="7">
        <v>0.69977</v>
      </c>
      <c r="G23" s="7">
        <v>9.2208000000000006</v>
      </c>
      <c r="H23" s="7">
        <v>0.60899999999999999</v>
      </c>
      <c r="I23" s="4">
        <f t="shared" si="19"/>
        <v>1.0230215348429545</v>
      </c>
      <c r="J23" s="4">
        <f t="shared" si="20"/>
        <v>6.3072369409999993</v>
      </c>
      <c r="K23" s="4">
        <f t="shared" si="21"/>
        <v>5.6154672000000003</v>
      </c>
      <c r="L23" s="4">
        <f t="shared" si="23"/>
        <v>0.69176974099999899</v>
      </c>
      <c r="M23" s="4">
        <f t="shared" si="24"/>
        <v>0.89032126944475942</v>
      </c>
      <c r="N23" s="6">
        <v>15</v>
      </c>
    </row>
    <row r="24" spans="2:14" x14ac:dyDescent="0.25">
      <c r="B24" s="6">
        <v>0.05</v>
      </c>
      <c r="C24" s="4">
        <f t="shared" si="18"/>
        <v>1.1111111111111112</v>
      </c>
      <c r="D24" s="4" t="str">
        <f t="shared" si="22"/>
        <v>9_0,05</v>
      </c>
      <c r="E24" s="7">
        <v>9.0545000000000009</v>
      </c>
      <c r="F24" s="7">
        <v>1.98881</v>
      </c>
      <c r="G24" s="7">
        <v>8.9908999999999999</v>
      </c>
      <c r="H24" s="7">
        <v>1.7514000000000001</v>
      </c>
      <c r="I24" s="4">
        <f t="shared" si="19"/>
        <v>0.99297586835275264</v>
      </c>
      <c r="J24" s="4">
        <f t="shared" si="20"/>
        <v>18.007680145000002</v>
      </c>
      <c r="K24" s="4">
        <f t="shared" si="21"/>
        <v>15.746662260000001</v>
      </c>
      <c r="L24" s="4">
        <f t="shared" si="23"/>
        <v>2.2610178850000011</v>
      </c>
      <c r="M24" s="4">
        <f t="shared" si="24"/>
        <v>0.87444146792957156</v>
      </c>
      <c r="N24" s="6">
        <v>5</v>
      </c>
    </row>
    <row r="25" spans="2:14" x14ac:dyDescent="0.25">
      <c r="B25" s="6">
        <v>0.05</v>
      </c>
      <c r="C25" s="4">
        <f t="shared" si="18"/>
        <v>1.1111111111111112</v>
      </c>
      <c r="D25" s="4" t="str">
        <f t="shared" si="22"/>
        <v>9_0,05</v>
      </c>
      <c r="E25" s="7">
        <v>9.0115999999999996</v>
      </c>
      <c r="F25" s="7">
        <v>3.1625999999999999</v>
      </c>
      <c r="G25" s="7">
        <v>8.7489000000000008</v>
      </c>
      <c r="H25" s="7">
        <v>2.7907000000000002</v>
      </c>
      <c r="I25" s="4">
        <f t="shared" si="19"/>
        <v>0.97084868391850521</v>
      </c>
      <c r="J25" s="4">
        <f t="shared" si="20"/>
        <v>28.500086159999999</v>
      </c>
      <c r="K25" s="4">
        <f t="shared" si="21"/>
        <v>24.415555230000002</v>
      </c>
      <c r="L25" s="4">
        <f t="shared" si="23"/>
        <v>4.0845309299999961</v>
      </c>
      <c r="M25" s="4">
        <f t="shared" si="24"/>
        <v>0.85668355853138944</v>
      </c>
      <c r="N25" s="6">
        <v>3</v>
      </c>
    </row>
    <row r="26" spans="2:14" x14ac:dyDescent="0.25">
      <c r="B26" s="6">
        <v>0.05</v>
      </c>
      <c r="C26" s="4">
        <f t="shared" si="18"/>
        <v>1.1111111111111112</v>
      </c>
      <c r="D26" s="4" t="str">
        <f>TEXT(ROUND(E26,3),"#")&amp;"_"&amp;TEXT(B26,"0,##")</f>
        <v>9_0,05</v>
      </c>
      <c r="E26" s="7">
        <v>9.0385000000000009</v>
      </c>
      <c r="F26" s="7">
        <v>4.54</v>
      </c>
      <c r="G26" s="7">
        <v>8.59</v>
      </c>
      <c r="H26" s="7">
        <v>4.0236000000000001</v>
      </c>
      <c r="I26" s="4">
        <f t="shared" si="19"/>
        <v>0.95037893455772515</v>
      </c>
      <c r="J26" s="4">
        <f t="shared" si="20"/>
        <v>41.034790000000001</v>
      </c>
      <c r="K26" s="4">
        <f t="shared" si="21"/>
        <v>34.562724000000003</v>
      </c>
      <c r="L26" s="4">
        <f t="shared" si="23"/>
        <v>6.4720659999999981</v>
      </c>
      <c r="M26" s="4">
        <f t="shared" si="24"/>
        <v>0.84227856411596114</v>
      </c>
      <c r="N26" s="6">
        <v>2</v>
      </c>
    </row>
    <row r="28" spans="2:14" x14ac:dyDescent="0.25">
      <c r="B28" s="6">
        <v>0.05</v>
      </c>
      <c r="C28" s="4">
        <f t="shared" ref="C28:C33" si="25">1/(1-2*B28)</f>
        <v>1.1111111111111112</v>
      </c>
      <c r="D28" s="4" t="str">
        <f>TEXT(ROUND(E28,3),"#")&amp;"_"&amp;TEXT(B28,"0,##")</f>
        <v>12_0,05</v>
      </c>
      <c r="E28" s="7">
        <v>12.0663</v>
      </c>
      <c r="F28" s="7">
        <v>0.2104</v>
      </c>
      <c r="G28" s="7">
        <v>13.076000000000001</v>
      </c>
      <c r="H28" s="7">
        <v>0.1741</v>
      </c>
      <c r="I28" s="4">
        <f t="shared" ref="I28:I33" si="26">G28/E28</f>
        <v>1.0836793383224352</v>
      </c>
      <c r="J28" s="4">
        <f t="shared" ref="J28:J33" si="27">F28*E28</f>
        <v>2.5387495200000001</v>
      </c>
      <c r="K28" s="4">
        <f t="shared" ref="K28:K33" si="28">H28*G28</f>
        <v>2.2765316000000002</v>
      </c>
      <c r="L28" s="4">
        <f>J28-K28</f>
        <v>0.26221791999999988</v>
      </c>
      <c r="M28" s="4">
        <f>K28/J28</f>
        <v>0.8967137490586311</v>
      </c>
      <c r="N28" s="6">
        <v>75</v>
      </c>
    </row>
    <row r="29" spans="2:14" x14ac:dyDescent="0.25">
      <c r="B29" s="6">
        <v>0.05</v>
      </c>
      <c r="C29" s="4">
        <f t="shared" si="25"/>
        <v>1.1111111111111112</v>
      </c>
      <c r="D29" s="4" t="str">
        <f t="shared" ref="D29:D33" si="29">TEXT(ROUND(E29,3),"#")&amp;"_"&amp;TEXT(B29,"0,##")</f>
        <v>12_0,05</v>
      </c>
      <c r="E29" s="7">
        <v>12.03</v>
      </c>
      <c r="F29" s="7">
        <v>0.49310999999999999</v>
      </c>
      <c r="G29" s="7">
        <v>12.773099999999999</v>
      </c>
      <c r="H29" s="7">
        <v>0.42338999999999999</v>
      </c>
      <c r="I29" s="4">
        <f t="shared" si="26"/>
        <v>1.0617705735660847</v>
      </c>
      <c r="J29" s="4">
        <f t="shared" si="27"/>
        <v>5.9321132999999993</v>
      </c>
      <c r="K29" s="4">
        <f t="shared" si="28"/>
        <v>5.4080028089999992</v>
      </c>
      <c r="L29" s="4">
        <f t="shared" ref="L29:L33" si="30">J29-K29</f>
        <v>0.52411049100000007</v>
      </c>
      <c r="M29" s="4">
        <f t="shared" ref="M29:M33" si="31">K29/J29</f>
        <v>0.91164860404807169</v>
      </c>
      <c r="N29" s="6">
        <v>30</v>
      </c>
    </row>
    <row r="30" spans="2:14" x14ac:dyDescent="0.25">
      <c r="B30" s="6">
        <v>0.05</v>
      </c>
      <c r="C30" s="4">
        <f t="shared" si="25"/>
        <v>1.1111111111111112</v>
      </c>
      <c r="D30" s="4" t="str">
        <f t="shared" si="29"/>
        <v>12_0,05</v>
      </c>
      <c r="E30" s="7">
        <v>12.045500000000001</v>
      </c>
      <c r="F30" s="7">
        <v>0.95689999999999997</v>
      </c>
      <c r="G30" s="7">
        <v>12.6065</v>
      </c>
      <c r="H30" s="7">
        <v>0.83398000000000005</v>
      </c>
      <c r="I30" s="4">
        <f t="shared" si="26"/>
        <v>1.0465734091569465</v>
      </c>
      <c r="J30" s="4">
        <f t="shared" si="27"/>
        <v>11.52633895</v>
      </c>
      <c r="K30" s="4">
        <f t="shared" si="28"/>
        <v>10.51356887</v>
      </c>
      <c r="L30" s="4">
        <f t="shared" si="30"/>
        <v>1.0127700799999992</v>
      </c>
      <c r="M30" s="4">
        <f t="shared" si="31"/>
        <v>0.91213427920233081</v>
      </c>
      <c r="N30" s="6">
        <v>15</v>
      </c>
    </row>
    <row r="31" spans="2:14" x14ac:dyDescent="0.25">
      <c r="B31" s="6">
        <v>0.05</v>
      </c>
      <c r="C31" s="4">
        <f t="shared" si="25"/>
        <v>1.1111111111111112</v>
      </c>
      <c r="D31" s="4" t="str">
        <f t="shared" si="29"/>
        <v>12_0,05</v>
      </c>
      <c r="E31" s="7">
        <v>12.039300000000001</v>
      </c>
      <c r="F31" s="7">
        <v>1.85025</v>
      </c>
      <c r="G31" s="7">
        <v>12.4008</v>
      </c>
      <c r="H31" s="7">
        <v>1.6252</v>
      </c>
      <c r="I31" s="4">
        <f t="shared" si="26"/>
        <v>1.0300266626797239</v>
      </c>
      <c r="J31" s="4">
        <f t="shared" si="27"/>
        <v>22.275714825000001</v>
      </c>
      <c r="K31" s="4">
        <f t="shared" si="28"/>
        <v>20.15378016</v>
      </c>
      <c r="L31" s="4">
        <f t="shared" si="30"/>
        <v>2.1219346650000013</v>
      </c>
      <c r="M31" s="4">
        <f t="shared" si="31"/>
        <v>0.90474224141985526</v>
      </c>
      <c r="N31" s="6">
        <v>7.5</v>
      </c>
    </row>
    <row r="32" spans="2:14" x14ac:dyDescent="0.25">
      <c r="B32" s="6">
        <v>0.05</v>
      </c>
      <c r="C32" s="4">
        <f t="shared" si="25"/>
        <v>1.1111111111111112</v>
      </c>
      <c r="D32" s="4" t="str">
        <f t="shared" si="29"/>
        <v>12_0,05</v>
      </c>
      <c r="E32" s="7">
        <v>12.0252</v>
      </c>
      <c r="F32" s="7">
        <v>2.7094999999999998</v>
      </c>
      <c r="G32" s="7">
        <v>12.234999999999999</v>
      </c>
      <c r="H32" s="7">
        <v>2.3854000000000002</v>
      </c>
      <c r="I32" s="4">
        <f t="shared" si="26"/>
        <v>1.0174466952732595</v>
      </c>
      <c r="J32" s="4">
        <f t="shared" si="27"/>
        <v>32.582279399999997</v>
      </c>
      <c r="K32" s="4">
        <f t="shared" si="28"/>
        <v>29.185369000000001</v>
      </c>
      <c r="L32" s="4">
        <f t="shared" si="30"/>
        <v>3.3969103999999959</v>
      </c>
      <c r="M32" s="4">
        <f t="shared" si="31"/>
        <v>0.89574362314258482</v>
      </c>
      <c r="N32" s="6">
        <v>5</v>
      </c>
    </row>
    <row r="33" spans="2:14" x14ac:dyDescent="0.25">
      <c r="B33" s="6">
        <v>0.05</v>
      </c>
      <c r="C33" s="4">
        <f t="shared" si="25"/>
        <v>1.1111111111111112</v>
      </c>
      <c r="D33" s="4" t="str">
        <f t="shared" si="29"/>
        <v>12_0,05</v>
      </c>
      <c r="E33" s="7">
        <v>12.0045</v>
      </c>
      <c r="F33" s="7">
        <v>5.1136999999999997</v>
      </c>
      <c r="G33" s="7">
        <v>11.894</v>
      </c>
      <c r="H33" s="7">
        <v>4.5102000000000002</v>
      </c>
      <c r="I33" s="4">
        <f t="shared" si="26"/>
        <v>0.99079511849723023</v>
      </c>
      <c r="J33" s="4">
        <f t="shared" si="27"/>
        <v>61.387411649999997</v>
      </c>
      <c r="K33" s="4">
        <f t="shared" si="28"/>
        <v>53.644318800000001</v>
      </c>
      <c r="L33" s="4">
        <f t="shared" si="30"/>
        <v>7.7430928499999965</v>
      </c>
      <c r="M33" s="4">
        <f t="shared" si="31"/>
        <v>0.87386513550779432</v>
      </c>
      <c r="N33" s="6">
        <v>2.5</v>
      </c>
    </row>
    <row r="35" spans="2:14" x14ac:dyDescent="0.25">
      <c r="B35" s="6">
        <v>0.05</v>
      </c>
      <c r="C35" s="4">
        <f>1/(1-2*B35)</f>
        <v>1.1111111111111112</v>
      </c>
      <c r="D35" s="4" t="str">
        <f>TEXT(ROUND(E35,3),"#")&amp;"_"&amp;TEXT(B35,"0,##")</f>
        <v>24_0,05</v>
      </c>
      <c r="E35" s="7">
        <v>24.047000000000001</v>
      </c>
      <c r="F35" s="7">
        <v>0.3987</v>
      </c>
      <c r="G35" s="7">
        <v>26.751000000000001</v>
      </c>
      <c r="H35" s="7">
        <v>0.3332</v>
      </c>
      <c r="I35" s="4">
        <f>G35/E35</f>
        <v>1.112446459017757</v>
      </c>
      <c r="J35" s="4">
        <f>F35*E35</f>
        <v>9.5875389000000002</v>
      </c>
      <c r="K35" s="4">
        <f>H35*G35</f>
        <v>8.9134332000000001</v>
      </c>
      <c r="L35" s="4">
        <f>J35-K35</f>
        <v>0.67410570000000014</v>
      </c>
      <c r="M35" s="4">
        <f>K35/J35</f>
        <v>0.92968939088215852</v>
      </c>
      <c r="N35" s="6">
        <v>80</v>
      </c>
    </row>
    <row r="36" spans="2:14" x14ac:dyDescent="0.25">
      <c r="B36" s="6">
        <v>0.05</v>
      </c>
      <c r="C36" s="4">
        <f>1/(1-2*B36)</f>
        <v>1.1111111111111112</v>
      </c>
      <c r="D36" s="4" t="str">
        <f t="shared" ref="D36:D38" si="32">TEXT(ROUND(E36,3),"#")&amp;"_"&amp;TEXT(B36,"0,##")</f>
        <v>24_0,05</v>
      </c>
      <c r="E36" s="7">
        <v>24.000499999999999</v>
      </c>
      <c r="F36" s="7">
        <v>0.76771999999999996</v>
      </c>
      <c r="G36" s="7">
        <v>26.382999999999999</v>
      </c>
      <c r="H36" s="7">
        <v>0.65815000000000001</v>
      </c>
      <c r="I36" s="4">
        <f>G36/E36</f>
        <v>1.0992687652340576</v>
      </c>
      <c r="J36" s="4">
        <f>F36*E36</f>
        <v>18.425663859999997</v>
      </c>
      <c r="K36" s="4">
        <f>H36*G36</f>
        <v>17.363971450000001</v>
      </c>
      <c r="L36" s="4">
        <f t="shared" ref="L36:L38" si="33">J36-K36</f>
        <v>1.0616924099999956</v>
      </c>
      <c r="M36" s="4">
        <f t="shared" ref="M36:M38" si="34">K36/J36</f>
        <v>0.94237969290730372</v>
      </c>
      <c r="N36" s="6">
        <v>40</v>
      </c>
    </row>
    <row r="37" spans="2:14" x14ac:dyDescent="0.25">
      <c r="B37" s="6">
        <v>0.05</v>
      </c>
      <c r="C37" s="4">
        <f>1/(1-2*B37)</f>
        <v>1.1111111111111112</v>
      </c>
      <c r="D37" s="4" t="str">
        <f t="shared" si="32"/>
        <v>24_0,05</v>
      </c>
      <c r="E37" s="7">
        <v>24.0245</v>
      </c>
      <c r="F37" s="7">
        <v>1.49437</v>
      </c>
      <c r="G37" s="7">
        <v>26.120899999999999</v>
      </c>
      <c r="H37" s="7">
        <v>1.3001499999999999</v>
      </c>
      <c r="I37" s="4">
        <f>G37/E37</f>
        <v>1.0872609211429998</v>
      </c>
      <c r="J37" s="4">
        <f>F37*E37</f>
        <v>35.901492064999999</v>
      </c>
      <c r="K37" s="4">
        <f>H37*G37</f>
        <v>33.961088134999997</v>
      </c>
      <c r="L37" s="4">
        <f t="shared" si="33"/>
        <v>1.9404039300000022</v>
      </c>
      <c r="M37" s="4">
        <f t="shared" si="34"/>
        <v>0.9459519975802988</v>
      </c>
      <c r="N37" s="6">
        <v>20</v>
      </c>
    </row>
    <row r="38" spans="2:14" x14ac:dyDescent="0.25">
      <c r="B38" s="6">
        <v>0.05</v>
      </c>
      <c r="C38" s="4">
        <f>1/(1-2*B38)</f>
        <v>1.1111111111111112</v>
      </c>
      <c r="D38" s="4" t="str">
        <f t="shared" si="32"/>
        <v>24_0,05</v>
      </c>
      <c r="E38" s="7">
        <v>24.034700000000001</v>
      </c>
      <c r="F38" s="7">
        <v>2.9163000000000001</v>
      </c>
      <c r="G38" s="7">
        <v>25.83</v>
      </c>
      <c r="H38" s="7">
        <v>2.5558000000000001</v>
      </c>
      <c r="I38" s="4">
        <f>G38/E38</f>
        <v>1.07469616845644</v>
      </c>
      <c r="J38" s="4">
        <f>F38*E38</f>
        <v>70.092395610000011</v>
      </c>
      <c r="K38" s="4">
        <f>H38*G38</f>
        <v>66.016313999999994</v>
      </c>
      <c r="L38" s="4">
        <f t="shared" si="33"/>
        <v>4.076081610000017</v>
      </c>
      <c r="M38" s="4">
        <f t="shared" si="34"/>
        <v>0.94184702099954354</v>
      </c>
      <c r="N38" s="6">
        <v>10</v>
      </c>
    </row>
    <row r="39" spans="2:14" x14ac:dyDescent="0.25">
      <c r="C39" s="4"/>
      <c r="D39" s="4"/>
      <c r="E39" s="7"/>
      <c r="F39" s="7"/>
      <c r="G39" s="7"/>
      <c r="H39" s="7"/>
      <c r="I39" s="4"/>
      <c r="J39" s="4"/>
      <c r="K39" s="4"/>
      <c r="L39" s="4"/>
      <c r="M39" s="4"/>
    </row>
    <row r="40" spans="2:14" x14ac:dyDescent="0.25">
      <c r="B40" s="6">
        <v>0.1</v>
      </c>
      <c r="C40" s="4">
        <f>1/(1-2*B40)</f>
        <v>1.25</v>
      </c>
      <c r="D40" s="4" t="str">
        <f>TEXT(ROUND(E40,3),"#,#")&amp;"_"&amp;TEXT(B40,"0,##")</f>
        <v>3,3_0,1</v>
      </c>
      <c r="E40" s="7">
        <v>3.3028</v>
      </c>
      <c r="F40" s="7">
        <v>0.14879999999999999</v>
      </c>
      <c r="G40" s="7">
        <v>3.3759999999999999</v>
      </c>
      <c r="H40" s="7">
        <v>0.11157</v>
      </c>
      <c r="I40" s="4">
        <f>G40/E40</f>
        <v>1.0221630132009205</v>
      </c>
      <c r="J40" s="4">
        <f>F40*E40</f>
        <v>0.49145663999999994</v>
      </c>
      <c r="K40" s="4">
        <f>H40*G40</f>
        <v>0.37666031999999999</v>
      </c>
      <c r="L40" s="4">
        <f>J40-K40</f>
        <v>0.11479631999999995</v>
      </c>
      <c r="M40" s="4">
        <f>K40/J40</f>
        <v>0.76641617864802891</v>
      </c>
      <c r="N40" s="6">
        <v>30</v>
      </c>
    </row>
    <row r="41" spans="2:14" x14ac:dyDescent="0.25">
      <c r="B41" s="6">
        <v>0.1</v>
      </c>
      <c r="C41" s="4">
        <f>1/(1-2*B41)</f>
        <v>1.25</v>
      </c>
      <c r="D41" s="4" t="str">
        <f t="shared" ref="D41:D43" si="35">TEXT(ROUND(E41,3),"#,#")&amp;"_"&amp;TEXT(B41,"0,##")</f>
        <v>3,3_0,1</v>
      </c>
      <c r="E41" s="7">
        <v>3.3053300000000001</v>
      </c>
      <c r="F41" s="7">
        <v>0.28270000000000001</v>
      </c>
      <c r="G41" s="7">
        <v>3.27</v>
      </c>
      <c r="H41" s="7">
        <v>0.21662000000000001</v>
      </c>
      <c r="I41" s="4">
        <f>G41/E41</f>
        <v>0.98931120341993084</v>
      </c>
      <c r="J41" s="4">
        <f>F41*E41</f>
        <v>0.93441679100000008</v>
      </c>
      <c r="K41" s="4">
        <f>H41*G41</f>
        <v>0.70834740000000007</v>
      </c>
      <c r="L41" s="4">
        <f t="shared" ref="L41:L43" si="36">J41-K41</f>
        <v>0.22606939100000001</v>
      </c>
      <c r="M41" s="4">
        <f t="shared" ref="M41:M43" si="37">K41/J41</f>
        <v>0.75806364656818326</v>
      </c>
      <c r="N41" s="6">
        <v>15</v>
      </c>
    </row>
    <row r="42" spans="2:14" x14ac:dyDescent="0.25">
      <c r="B42" s="6">
        <v>0.1</v>
      </c>
      <c r="C42" s="4">
        <f>1/(1-2*B42)</f>
        <v>1.25</v>
      </c>
      <c r="D42" s="4" t="str">
        <f t="shared" si="35"/>
        <v>3,3_0,1</v>
      </c>
      <c r="E42" s="7">
        <v>3.3003999999999998</v>
      </c>
      <c r="F42" s="7">
        <v>0.77425999999999995</v>
      </c>
      <c r="G42" s="7">
        <v>3.0951</v>
      </c>
      <c r="H42" s="7">
        <v>0.60363</v>
      </c>
      <c r="I42" s="4">
        <f>G42/E42</f>
        <v>0.9377954187371228</v>
      </c>
      <c r="J42" s="4">
        <f>F42*E42</f>
        <v>2.5553677039999996</v>
      </c>
      <c r="K42" s="4">
        <f>H42*G42</f>
        <v>1.8682952129999999</v>
      </c>
      <c r="L42" s="4">
        <f t="shared" si="36"/>
        <v>0.68707249099999967</v>
      </c>
      <c r="M42" s="4">
        <f t="shared" si="37"/>
        <v>0.7311257828278479</v>
      </c>
      <c r="N42" s="6">
        <v>5</v>
      </c>
    </row>
    <row r="43" spans="2:14" x14ac:dyDescent="0.25">
      <c r="B43" s="6">
        <v>0.1</v>
      </c>
      <c r="C43" s="4">
        <f>1/(1-2*B43)</f>
        <v>1.25</v>
      </c>
      <c r="D43" s="4" t="str">
        <f t="shared" si="35"/>
        <v>3,3_0,1</v>
      </c>
      <c r="E43" s="7">
        <v>3.3035999999999999</v>
      </c>
      <c r="F43" s="7">
        <v>2.9702000000000002</v>
      </c>
      <c r="G43" s="7">
        <v>2.6389999999999998</v>
      </c>
      <c r="H43" s="7">
        <v>2.3380000000000001</v>
      </c>
      <c r="I43" s="4">
        <f>G43/E43</f>
        <v>0.79882552367114656</v>
      </c>
      <c r="J43" s="4">
        <f>F43*E43</f>
        <v>9.8123527199999998</v>
      </c>
      <c r="K43" s="4">
        <f>H43*G43</f>
        <v>6.1699820000000001</v>
      </c>
      <c r="L43" s="4">
        <f t="shared" si="36"/>
        <v>3.6423707199999997</v>
      </c>
      <c r="M43" s="4">
        <f t="shared" si="37"/>
        <v>0.62879741241099618</v>
      </c>
      <c r="N43" s="6">
        <v>1</v>
      </c>
    </row>
    <row r="44" spans="2:14" x14ac:dyDescent="0.25">
      <c r="B44" s="6">
        <v>0.1</v>
      </c>
      <c r="C44" s="4">
        <f>1/(1-2*B44)</f>
        <v>1.25</v>
      </c>
      <c r="D44" s="4" t="str">
        <f>TEXT(ROUND(E44,3),"#,#")&amp;"_"&amp;TEXT(B44,"0,##")</f>
        <v>3,3_0,1</v>
      </c>
      <c r="E44" s="7">
        <v>3.3001999999999998</v>
      </c>
      <c r="F44" s="7">
        <v>4.7380000000000004</v>
      </c>
      <c r="G44" s="7">
        <v>2.3685</v>
      </c>
      <c r="H44" s="7">
        <v>3.74</v>
      </c>
      <c r="I44" s="4">
        <f>G44/E44</f>
        <v>0.71768377674080364</v>
      </c>
      <c r="J44" s="4">
        <f>F44*E44</f>
        <v>15.636347600000001</v>
      </c>
      <c r="K44" s="4">
        <f>H44*G44</f>
        <v>8.8581900000000005</v>
      </c>
      <c r="L44" s="4">
        <f t="shared" ref="L44" si="38">J44-K44</f>
        <v>6.7781576000000001</v>
      </c>
      <c r="M44" s="4">
        <f t="shared" ref="M44" si="39">K44/J44</f>
        <v>0.56651273216770903</v>
      </c>
      <c r="N44" s="6">
        <v>0.5</v>
      </c>
    </row>
    <row r="46" spans="2:14" x14ac:dyDescent="0.25">
      <c r="B46" s="6">
        <v>0.1</v>
      </c>
      <c r="C46" s="4">
        <f>1/(1-2*B46)</f>
        <v>1.25</v>
      </c>
      <c r="D46" s="4" t="str">
        <f>TEXT(ROUND(E46,3),"#")&amp;"_"&amp;TEXT(B46,"0,##")</f>
        <v>5_0,1</v>
      </c>
      <c r="E46" s="7">
        <v>5.0048000000000004</v>
      </c>
      <c r="F46" s="7">
        <v>0.28647</v>
      </c>
      <c r="G46" s="7">
        <v>5.4733999999999998</v>
      </c>
      <c r="H46" s="7">
        <v>0.21740000000000001</v>
      </c>
      <c r="I46" s="4">
        <f>G46/E46</f>
        <v>1.093630115089514</v>
      </c>
      <c r="J46" s="4">
        <f>F46*E46</f>
        <v>1.4337250560000001</v>
      </c>
      <c r="K46" s="4">
        <f>H46*G46</f>
        <v>1.18991716</v>
      </c>
      <c r="L46" s="4">
        <f>J46-K46</f>
        <v>0.24380789600000008</v>
      </c>
      <c r="M46" s="4">
        <f>K46/J46</f>
        <v>0.82994794226432211</v>
      </c>
      <c r="N46" s="6">
        <v>25</v>
      </c>
    </row>
    <row r="47" spans="2:14" x14ac:dyDescent="0.25">
      <c r="B47" s="6">
        <v>0.1</v>
      </c>
      <c r="C47" s="4">
        <f>1/(1-2*B47)</f>
        <v>1.25</v>
      </c>
      <c r="D47" s="4" t="str">
        <f t="shared" ref="D47:D50" si="40">TEXT(ROUND(E47,3),"#")&amp;"_"&amp;TEXT(B47,"0,##")</f>
        <v>5_0,1</v>
      </c>
      <c r="E47" s="7">
        <v>5.0030000000000001</v>
      </c>
      <c r="F47" s="7">
        <v>0.67462</v>
      </c>
      <c r="G47" s="7">
        <v>5.3049999999999997</v>
      </c>
      <c r="H47" s="7">
        <v>0.52246999999999999</v>
      </c>
      <c r="I47" s="4">
        <f>G47/E47</f>
        <v>1.0603637817309612</v>
      </c>
      <c r="J47" s="4">
        <f>F47*E47</f>
        <v>3.37512386</v>
      </c>
      <c r="K47" s="4">
        <f>H47*G47</f>
        <v>2.7717033499999997</v>
      </c>
      <c r="L47" s="4">
        <f t="shared" ref="L47:L50" si="41">J47-K47</f>
        <v>0.6034205100000003</v>
      </c>
      <c r="M47" s="4">
        <f t="shared" ref="M47:M50" si="42">K47/J47</f>
        <v>0.8212152990438697</v>
      </c>
      <c r="N47" s="6">
        <v>10</v>
      </c>
    </row>
    <row r="48" spans="2:14" x14ac:dyDescent="0.25">
      <c r="B48" s="6">
        <v>0.1</v>
      </c>
      <c r="C48" s="4">
        <f>1/(1-2*B48)</f>
        <v>1.25</v>
      </c>
      <c r="D48" s="4" t="str">
        <f t="shared" si="40"/>
        <v>5_0,1</v>
      </c>
      <c r="E48" s="7">
        <v>5.0090000000000003</v>
      </c>
      <c r="F48" s="7">
        <v>1.28576</v>
      </c>
      <c r="G48" s="7">
        <v>5.1547000000000001</v>
      </c>
      <c r="H48" s="7">
        <v>1.00352</v>
      </c>
      <c r="I48" s="4">
        <f>G48/E48</f>
        <v>1.0290876422439608</v>
      </c>
      <c r="J48" s="4">
        <f>F48*E48</f>
        <v>6.4403718400000001</v>
      </c>
      <c r="K48" s="4">
        <f>H48*G48</f>
        <v>5.1728445440000002</v>
      </c>
      <c r="L48" s="4">
        <f t="shared" si="41"/>
        <v>1.2675272959999999</v>
      </c>
      <c r="M48" s="4">
        <f t="shared" si="42"/>
        <v>0.80319035492211577</v>
      </c>
      <c r="N48" s="6">
        <v>5</v>
      </c>
    </row>
    <row r="49" spans="2:14" x14ac:dyDescent="0.25">
      <c r="B49" s="6">
        <v>0.1</v>
      </c>
      <c r="C49" s="4">
        <f>1/(1-2*B49)</f>
        <v>1.25</v>
      </c>
      <c r="D49" s="4" t="str">
        <f t="shared" si="40"/>
        <v>5_0,1</v>
      </c>
      <c r="E49" s="7">
        <v>5.0004</v>
      </c>
      <c r="F49" s="7">
        <v>2.3927999999999998</v>
      </c>
      <c r="G49" s="7">
        <v>4.9184999999999999</v>
      </c>
      <c r="H49" s="7">
        <v>1.8747</v>
      </c>
      <c r="I49" s="4">
        <f>G49/E49</f>
        <v>0.98362131029517641</v>
      </c>
      <c r="J49" s="4">
        <f>F49*E49</f>
        <v>11.964957119999999</v>
      </c>
      <c r="K49" s="4">
        <f>H49*G49</f>
        <v>9.2207119500000001</v>
      </c>
      <c r="L49" s="4">
        <f t="shared" si="41"/>
        <v>2.7442451699999992</v>
      </c>
      <c r="M49" s="4">
        <f t="shared" si="42"/>
        <v>0.77064312538046109</v>
      </c>
      <c r="N49" s="6">
        <v>2.5</v>
      </c>
    </row>
    <row r="50" spans="2:14" x14ac:dyDescent="0.25">
      <c r="B50" s="6">
        <v>0.1</v>
      </c>
      <c r="C50" s="4">
        <f>1/(1-2*B50)</f>
        <v>1.25</v>
      </c>
      <c r="D50" s="4" t="str">
        <f t="shared" si="40"/>
        <v>5_0,1</v>
      </c>
      <c r="E50" s="7">
        <v>5.0259999999999998</v>
      </c>
      <c r="F50" s="7">
        <v>5.05</v>
      </c>
      <c r="G50" s="7">
        <v>4.4999000000000002</v>
      </c>
      <c r="H50" s="7">
        <v>3.9733999999999998</v>
      </c>
      <c r="I50" s="4">
        <f>G50/E50</f>
        <v>0.89532431356943898</v>
      </c>
      <c r="J50" s="4">
        <f>F50*E50</f>
        <v>25.3813</v>
      </c>
      <c r="K50" s="4">
        <f>H50*G50</f>
        <v>17.879902659999999</v>
      </c>
      <c r="L50" s="4">
        <f t="shared" si="41"/>
        <v>7.5013973400000005</v>
      </c>
      <c r="M50" s="4">
        <f t="shared" si="42"/>
        <v>0.70445180743303137</v>
      </c>
      <c r="N50" s="6">
        <v>1</v>
      </c>
    </row>
    <row r="51" spans="2:14" x14ac:dyDescent="0.25">
      <c r="C51" s="4"/>
      <c r="D51" s="4"/>
      <c r="E51" s="7"/>
      <c r="F51" s="7"/>
      <c r="G51" s="7"/>
      <c r="H51" s="7"/>
      <c r="I51" s="4"/>
      <c r="J51" s="4"/>
      <c r="K51" s="4"/>
      <c r="L51" s="4"/>
      <c r="M51" s="4"/>
    </row>
    <row r="52" spans="2:14" x14ac:dyDescent="0.25">
      <c r="B52" s="6">
        <v>0.1</v>
      </c>
      <c r="C52" s="4">
        <f t="shared" ref="C52:C57" si="43">1/(1-2*B52)</f>
        <v>1.25</v>
      </c>
      <c r="D52" s="4" t="str">
        <f>TEXT(ROUND(E52,3),"#")&amp;"_"&amp;TEXT(B52,"0,##")</f>
        <v>9_0,1</v>
      </c>
      <c r="E52" s="7">
        <v>9</v>
      </c>
      <c r="F52" s="7">
        <v>0.28488999999999998</v>
      </c>
      <c r="G52" s="7">
        <v>10.675000000000001</v>
      </c>
      <c r="H52" s="7">
        <v>0.21224999999999999</v>
      </c>
      <c r="I52" s="4">
        <f t="shared" ref="I52:I57" si="44">G52/E52</f>
        <v>1.1861111111111111</v>
      </c>
      <c r="J52" s="4">
        <f t="shared" ref="J52:J57" si="45">F52*E52</f>
        <v>2.5640099999999997</v>
      </c>
      <c r="K52" s="4">
        <f t="shared" ref="K52:K57" si="46">H52*G52</f>
        <v>2.2657687499999999</v>
      </c>
      <c r="L52" s="4">
        <f>J52-K52</f>
        <v>0.29824124999999979</v>
      </c>
      <c r="M52" s="4">
        <f>K52/J52</f>
        <v>0.88368171340985413</v>
      </c>
      <c r="N52" s="6">
        <v>50</v>
      </c>
    </row>
    <row r="53" spans="2:14" x14ac:dyDescent="0.25">
      <c r="B53" s="6">
        <v>0.1</v>
      </c>
      <c r="C53" s="4">
        <f t="shared" si="43"/>
        <v>1.25</v>
      </c>
      <c r="D53" s="4" t="str">
        <f t="shared" ref="D53:D57" si="47">TEXT(ROUND(E53,3),"#")&amp;"_"&amp;TEXT(B53,"0,##")</f>
        <v>9_0,1</v>
      </c>
      <c r="E53" s="7">
        <v>9.0054999999999996</v>
      </c>
      <c r="F53" s="7">
        <v>0.54805999999999999</v>
      </c>
      <c r="G53" s="7">
        <v>10.513199999999999</v>
      </c>
      <c r="H53" s="7">
        <v>0.41836000000000001</v>
      </c>
      <c r="I53" s="4">
        <f t="shared" si="44"/>
        <v>1.1674199100549665</v>
      </c>
      <c r="J53" s="4">
        <f t="shared" si="45"/>
        <v>4.9355543299999995</v>
      </c>
      <c r="K53" s="4">
        <f t="shared" si="46"/>
        <v>4.398302352</v>
      </c>
      <c r="L53" s="4">
        <f t="shared" ref="L53:L57" si="48">J53-K53</f>
        <v>0.53725197799999957</v>
      </c>
      <c r="M53" s="4">
        <f t="shared" ref="M53:M57" si="49">K53/J53</f>
        <v>0.89114657805823416</v>
      </c>
      <c r="N53" s="6">
        <v>25</v>
      </c>
    </row>
    <row r="54" spans="2:14" x14ac:dyDescent="0.25">
      <c r="B54" s="6">
        <v>0.1</v>
      </c>
      <c r="C54" s="4">
        <f t="shared" si="43"/>
        <v>1.25</v>
      </c>
      <c r="D54" s="4" t="str">
        <f t="shared" si="47"/>
        <v>9_0,1</v>
      </c>
      <c r="E54" s="7">
        <v>9.048</v>
      </c>
      <c r="F54" s="7">
        <v>1.3128299999999999</v>
      </c>
      <c r="G54" s="7">
        <v>10.323</v>
      </c>
      <c r="H54" s="7">
        <v>1.01898</v>
      </c>
      <c r="I54" s="4">
        <f t="shared" si="44"/>
        <v>1.1409151193633953</v>
      </c>
      <c r="J54" s="4">
        <f t="shared" si="45"/>
        <v>11.87848584</v>
      </c>
      <c r="K54" s="4">
        <f t="shared" si="46"/>
        <v>10.518930539999999</v>
      </c>
      <c r="L54" s="4">
        <f t="shared" si="48"/>
        <v>1.3595553000000002</v>
      </c>
      <c r="M54" s="4">
        <f t="shared" si="49"/>
        <v>0.8855447303374484</v>
      </c>
      <c r="N54" s="6">
        <v>10</v>
      </c>
    </row>
    <row r="55" spans="2:14" x14ac:dyDescent="0.25">
      <c r="B55" s="6">
        <v>0.1</v>
      </c>
      <c r="C55" s="4">
        <f t="shared" si="43"/>
        <v>1.25</v>
      </c>
      <c r="D55" s="4" t="str">
        <f t="shared" si="47"/>
        <v>9_0,1</v>
      </c>
      <c r="E55" s="7">
        <v>9.0315999999999992</v>
      </c>
      <c r="F55" s="7">
        <v>2.5103</v>
      </c>
      <c r="G55" s="7">
        <v>10.048</v>
      </c>
      <c r="H55" s="7">
        <v>1.9594</v>
      </c>
      <c r="I55" s="4">
        <f t="shared" si="44"/>
        <v>1.112538199211657</v>
      </c>
      <c r="J55" s="4">
        <f t="shared" si="45"/>
        <v>22.672025479999999</v>
      </c>
      <c r="K55" s="4">
        <f t="shared" si="46"/>
        <v>19.6880512</v>
      </c>
      <c r="L55" s="4">
        <f t="shared" si="48"/>
        <v>2.9839742799999982</v>
      </c>
      <c r="M55" s="4">
        <f t="shared" si="49"/>
        <v>0.86838519202299347</v>
      </c>
      <c r="N55" s="6">
        <v>5</v>
      </c>
    </row>
    <row r="56" spans="2:14" x14ac:dyDescent="0.25">
      <c r="B56" s="6">
        <v>0.1</v>
      </c>
      <c r="C56" s="4">
        <f t="shared" si="43"/>
        <v>1.25</v>
      </c>
      <c r="D56" s="4" t="str">
        <f t="shared" si="47"/>
        <v>9_0,1</v>
      </c>
      <c r="E56" s="7">
        <v>9.0035000000000007</v>
      </c>
      <c r="F56" s="7">
        <v>3.9773700000000001</v>
      </c>
      <c r="G56" s="7">
        <v>9.7478999999999996</v>
      </c>
      <c r="H56" s="7">
        <v>3.1105</v>
      </c>
      <c r="I56" s="4">
        <f t="shared" si="44"/>
        <v>1.0826789581829288</v>
      </c>
      <c r="J56" s="4">
        <f t="shared" si="45"/>
        <v>35.810250795000002</v>
      </c>
      <c r="K56" s="4">
        <f t="shared" si="46"/>
        <v>30.320842949999999</v>
      </c>
      <c r="L56" s="4">
        <f t="shared" si="48"/>
        <v>5.4894078450000023</v>
      </c>
      <c r="M56" s="4">
        <f t="shared" si="49"/>
        <v>0.84670847807169058</v>
      </c>
      <c r="N56" s="6">
        <v>3</v>
      </c>
    </row>
    <row r="57" spans="2:14" x14ac:dyDescent="0.25">
      <c r="B57" s="6">
        <v>0.1</v>
      </c>
      <c r="C57" s="4">
        <f t="shared" si="43"/>
        <v>1.25</v>
      </c>
      <c r="D57" s="4" t="str">
        <f t="shared" si="47"/>
        <v>9_0,1</v>
      </c>
      <c r="E57" s="7">
        <v>9.0327000000000002</v>
      </c>
      <c r="F57" s="7">
        <v>4.6867999999999999</v>
      </c>
      <c r="G57" s="7">
        <v>9.6820000000000004</v>
      </c>
      <c r="H57" s="7">
        <v>3.6669</v>
      </c>
      <c r="I57" s="4">
        <f t="shared" si="44"/>
        <v>1.071883268568645</v>
      </c>
      <c r="J57" s="4">
        <f t="shared" si="45"/>
        <v>42.334458359999999</v>
      </c>
      <c r="K57" s="4">
        <f t="shared" si="46"/>
        <v>35.5029258</v>
      </c>
      <c r="L57" s="4">
        <f t="shared" si="48"/>
        <v>6.8315325599999994</v>
      </c>
      <c r="M57" s="4">
        <f t="shared" si="49"/>
        <v>0.83862950360893673</v>
      </c>
      <c r="N57" s="6">
        <v>2.5</v>
      </c>
    </row>
    <row r="59" spans="2:14" x14ac:dyDescent="0.25">
      <c r="B59" s="6">
        <v>0.1</v>
      </c>
      <c r="C59" s="4">
        <f t="shared" ref="C59:C63" si="50">1/(1-2*B59)</f>
        <v>1.25</v>
      </c>
      <c r="D59" s="4" t="str">
        <f>TEXT(ROUND(E59,3),"#")&amp;"_"&amp;TEXT(B59,"0,##")</f>
        <v>12_0,1</v>
      </c>
      <c r="E59" s="7">
        <v>12.0345</v>
      </c>
      <c r="F59" s="7">
        <v>0.38650000000000001</v>
      </c>
      <c r="G59" s="7">
        <v>14.5235</v>
      </c>
      <c r="H59" s="7">
        <v>0.28925000000000001</v>
      </c>
      <c r="I59" s="4">
        <f t="shared" ref="I59:I63" si="51">G59/E59</f>
        <v>1.2068220532635341</v>
      </c>
      <c r="J59" s="4">
        <f t="shared" ref="J59:J63" si="52">F59*E59</f>
        <v>4.6513342499999997</v>
      </c>
      <c r="K59" s="4">
        <f t="shared" ref="K59:K63" si="53">H59*G59</f>
        <v>4.2009223750000002</v>
      </c>
      <c r="L59" s="4">
        <f>J59-K59</f>
        <v>0.45041187499999946</v>
      </c>
      <c r="M59" s="4">
        <f>K59/J59</f>
        <v>0.90316501657562032</v>
      </c>
      <c r="N59" s="6">
        <v>50</v>
      </c>
    </row>
    <row r="60" spans="2:14" x14ac:dyDescent="0.25">
      <c r="B60" s="6">
        <v>0.1</v>
      </c>
      <c r="C60" s="4">
        <f t="shared" si="50"/>
        <v>1.25</v>
      </c>
      <c r="D60" s="4" t="str">
        <f t="shared" ref="D60:D63" si="54">TEXT(ROUND(E60,3),"#")&amp;"_"&amp;TEXT(B60,"0,##")</f>
        <v>12_0,1</v>
      </c>
      <c r="E60" s="7">
        <v>12.001799999999999</v>
      </c>
      <c r="F60" s="7">
        <v>0.74321999999999999</v>
      </c>
      <c r="G60" s="7">
        <v>14.289899999999999</v>
      </c>
      <c r="H60" s="7">
        <v>0.56861399999999995</v>
      </c>
      <c r="I60" s="4">
        <f t="shared" si="51"/>
        <v>1.1906464030395441</v>
      </c>
      <c r="J60" s="4">
        <f t="shared" si="52"/>
        <v>8.9199777959999995</v>
      </c>
      <c r="K60" s="4">
        <f t="shared" si="53"/>
        <v>8.1254371985999985</v>
      </c>
      <c r="L60" s="4">
        <f t="shared" ref="L60:L63" si="55">J60-K60</f>
        <v>0.79454059740000105</v>
      </c>
      <c r="M60" s="4">
        <f t="shared" ref="M60:M63" si="56">K60/J60</f>
        <v>0.91092572026846319</v>
      </c>
      <c r="N60" s="6">
        <v>25</v>
      </c>
    </row>
    <row r="61" spans="2:14" x14ac:dyDescent="0.25">
      <c r="B61" s="6">
        <v>0.1</v>
      </c>
      <c r="C61" s="4">
        <f t="shared" si="50"/>
        <v>1.25</v>
      </c>
      <c r="D61" s="4" t="str">
        <f t="shared" si="54"/>
        <v>12_0,1</v>
      </c>
      <c r="E61" s="7">
        <v>12.0037</v>
      </c>
      <c r="F61" s="7">
        <v>1.7818000000000001</v>
      </c>
      <c r="G61" s="7">
        <v>14.000500000000001</v>
      </c>
      <c r="H61" s="7">
        <v>1.3837999999999999</v>
      </c>
      <c r="I61" s="4">
        <f t="shared" si="51"/>
        <v>1.1663487091480127</v>
      </c>
      <c r="J61" s="4">
        <f t="shared" si="52"/>
        <v>21.388192660000001</v>
      </c>
      <c r="K61" s="4">
        <f t="shared" si="53"/>
        <v>19.3738919</v>
      </c>
      <c r="L61" s="4">
        <f t="shared" si="55"/>
        <v>2.0143007600000011</v>
      </c>
      <c r="M61" s="4">
        <f t="shared" si="56"/>
        <v>0.90582183394265348</v>
      </c>
      <c r="N61" s="6">
        <v>10</v>
      </c>
    </row>
    <row r="62" spans="2:14" x14ac:dyDescent="0.25">
      <c r="B62" s="6">
        <v>0.1</v>
      </c>
      <c r="C62" s="4">
        <f t="shared" si="50"/>
        <v>1.25</v>
      </c>
      <c r="D62" s="4" t="str">
        <f t="shared" si="54"/>
        <v>12_0,1</v>
      </c>
      <c r="E62" s="7">
        <v>12.009</v>
      </c>
      <c r="F62" s="7">
        <v>3.4209999999999998</v>
      </c>
      <c r="G62" s="7">
        <v>13.686999999999999</v>
      </c>
      <c r="H62" s="7">
        <v>2.6742900000000001</v>
      </c>
      <c r="I62" s="4">
        <f t="shared" si="51"/>
        <v>1.1397285369306354</v>
      </c>
      <c r="J62" s="4">
        <f t="shared" si="52"/>
        <v>41.082788999999998</v>
      </c>
      <c r="K62" s="4">
        <f t="shared" si="53"/>
        <v>36.603007229999996</v>
      </c>
      <c r="L62" s="4">
        <f t="shared" si="55"/>
        <v>4.4797817700000024</v>
      </c>
      <c r="M62" s="4">
        <f t="shared" si="56"/>
        <v>0.89095721398077421</v>
      </c>
      <c r="N62" s="6">
        <v>5</v>
      </c>
    </row>
    <row r="63" spans="2:14" x14ac:dyDescent="0.25">
      <c r="B63" s="6">
        <v>0.1</v>
      </c>
      <c r="C63" s="4">
        <f t="shared" si="50"/>
        <v>1.25</v>
      </c>
      <c r="D63" s="4" t="str">
        <f t="shared" si="54"/>
        <v>12_0,1</v>
      </c>
      <c r="E63" s="7">
        <v>12.0649</v>
      </c>
      <c r="F63" s="7">
        <v>5.4949000000000003</v>
      </c>
      <c r="G63" s="7">
        <v>13.452</v>
      </c>
      <c r="H63" s="7">
        <v>4.2996999999999996</v>
      </c>
      <c r="I63" s="4">
        <f t="shared" si="51"/>
        <v>1.1149698712794966</v>
      </c>
      <c r="J63" s="4">
        <f t="shared" si="52"/>
        <v>66.295419010000003</v>
      </c>
      <c r="K63" s="4">
        <f t="shared" si="53"/>
        <v>57.839564399999993</v>
      </c>
      <c r="L63" s="4">
        <f t="shared" si="55"/>
        <v>8.45585461000001</v>
      </c>
      <c r="M63" s="4">
        <f t="shared" si="56"/>
        <v>0.87245190186180843</v>
      </c>
      <c r="N63" s="6">
        <v>3</v>
      </c>
    </row>
    <row r="64" spans="2:14" x14ac:dyDescent="0.25">
      <c r="C64" s="4"/>
      <c r="D64" s="4"/>
      <c r="E64" s="7"/>
      <c r="F64" s="7"/>
      <c r="G64" s="7"/>
      <c r="H64" s="7"/>
      <c r="I64" s="4"/>
      <c r="J64" s="4"/>
      <c r="K64" s="4"/>
      <c r="L64" s="4"/>
      <c r="M64" s="4"/>
    </row>
    <row r="65" spans="2:14" x14ac:dyDescent="0.25">
      <c r="B65" s="6">
        <v>0.1</v>
      </c>
      <c r="C65" s="4">
        <f>1/(1-2*B65)</f>
        <v>1.25</v>
      </c>
      <c r="D65" s="4" t="str">
        <f>TEXT(ROUND(E65,3),"#")&amp;"_"&amp;TEXT(B65,"0,##")</f>
        <v>24_0,1</v>
      </c>
      <c r="E65" s="7">
        <v>24.038</v>
      </c>
      <c r="F65" s="7">
        <v>0.66327000000000003</v>
      </c>
      <c r="G65" s="7">
        <v>29.862500000000001</v>
      </c>
      <c r="H65" s="7">
        <v>0.49762000000000001</v>
      </c>
      <c r="I65" s="4">
        <f>G65/E65</f>
        <v>1.2423038522339629</v>
      </c>
      <c r="J65" s="4">
        <f>F65*E65</f>
        <v>15.943684260000001</v>
      </c>
      <c r="K65" s="4">
        <f>H65*G65</f>
        <v>14.860177250000001</v>
      </c>
      <c r="L65" s="4">
        <f>J65-K65</f>
        <v>1.0835070099999999</v>
      </c>
      <c r="M65" s="4">
        <f>K65/J65</f>
        <v>0.93204161645885475</v>
      </c>
      <c r="N65" s="6">
        <v>60</v>
      </c>
    </row>
    <row r="66" spans="2:14" x14ac:dyDescent="0.25">
      <c r="B66" s="6">
        <v>0.1</v>
      </c>
      <c r="C66" s="4">
        <f>1/(1-2*B66)</f>
        <v>1.25</v>
      </c>
      <c r="D66" s="4" t="str">
        <f t="shared" ref="D66:D68" si="57">TEXT(ROUND(E66,3),"#")&amp;"_"&amp;TEXT(B66,"0,##")</f>
        <v>24_0,1</v>
      </c>
      <c r="E66" s="7">
        <v>24.01</v>
      </c>
      <c r="F66" s="7">
        <v>1.2837000000000001</v>
      </c>
      <c r="G66" s="7">
        <v>29.539000000000001</v>
      </c>
      <c r="H66" s="7">
        <v>0.98234999999999995</v>
      </c>
      <c r="I66" s="4">
        <f>G66/E66</f>
        <v>1.2302790503956684</v>
      </c>
      <c r="J66" s="4">
        <f>F66*E66</f>
        <v>30.821637000000003</v>
      </c>
      <c r="K66" s="4">
        <f>H66*G66</f>
        <v>29.01763665</v>
      </c>
      <c r="L66" s="4">
        <f t="shared" ref="L66:L68" si="58">J66-K66</f>
        <v>1.8040003500000026</v>
      </c>
      <c r="M66" s="4">
        <f t="shared" ref="M66:M68" si="59">K66/J66</f>
        <v>0.94146967761640943</v>
      </c>
      <c r="N66" s="6">
        <v>30</v>
      </c>
    </row>
    <row r="67" spans="2:14" x14ac:dyDescent="0.25">
      <c r="B67" s="6">
        <v>0.1</v>
      </c>
      <c r="C67" s="4">
        <f>1/(1-2*B67)</f>
        <v>1.25</v>
      </c>
      <c r="D67" s="4" t="str">
        <f t="shared" si="57"/>
        <v>24_0,1</v>
      </c>
      <c r="E67" s="7">
        <v>24.0107</v>
      </c>
      <c r="F67" s="7">
        <v>2.5055000000000001</v>
      </c>
      <c r="G67" s="7">
        <v>29.23</v>
      </c>
      <c r="H67" s="7">
        <v>1.9377</v>
      </c>
      <c r="I67" s="4">
        <f>G67/E67</f>
        <v>1.2173739207936463</v>
      </c>
      <c r="J67" s="4">
        <f>F67*E67</f>
        <v>60.15880885</v>
      </c>
      <c r="K67" s="4">
        <f>H67*G67</f>
        <v>56.638970999999998</v>
      </c>
      <c r="L67" s="4">
        <f t="shared" si="58"/>
        <v>3.5198378500000018</v>
      </c>
      <c r="M67" s="4">
        <f t="shared" si="59"/>
        <v>0.94149089855192503</v>
      </c>
      <c r="N67" s="6">
        <v>15</v>
      </c>
    </row>
    <row r="68" spans="2:14" x14ac:dyDescent="0.25">
      <c r="B68" s="6">
        <v>0.1</v>
      </c>
      <c r="C68" s="4">
        <f>1/(1-2*B68)</f>
        <v>1.25</v>
      </c>
      <c r="D68" s="4" t="str">
        <f t="shared" si="57"/>
        <v>24_0,1</v>
      </c>
      <c r="E68" s="7">
        <v>24.006599999999999</v>
      </c>
      <c r="F68" s="7">
        <v>3.1082000000000001</v>
      </c>
      <c r="G68" s="7">
        <v>29.103000000000002</v>
      </c>
      <c r="H68" s="7">
        <v>2.4079999999999999</v>
      </c>
      <c r="I68" s="4">
        <f>G68/E68</f>
        <v>1.2122916198045539</v>
      </c>
      <c r="J68" s="4">
        <f>F68*E68</f>
        <v>74.617314120000003</v>
      </c>
      <c r="K68" s="4">
        <f>H68*G68</f>
        <v>70.080023999999995</v>
      </c>
      <c r="L68" s="4">
        <f t="shared" si="58"/>
        <v>4.5372901200000086</v>
      </c>
      <c r="M68" s="4">
        <f t="shared" si="59"/>
        <v>0.93919252959570332</v>
      </c>
      <c r="N68" s="6">
        <v>12</v>
      </c>
    </row>
    <row r="70" spans="2:14" x14ac:dyDescent="0.25">
      <c r="B70" s="6">
        <v>0.2</v>
      </c>
      <c r="C70" s="4">
        <f>1/(1-2*B70)</f>
        <v>1.6666666666666667</v>
      </c>
      <c r="D70" s="4" t="str">
        <f>TEXT(ROUND(E70,3),"#,#")&amp;"_"&amp;TEXT(B70,"0,##")</f>
        <v>3,3_0,2</v>
      </c>
      <c r="E70" s="7">
        <v>3.3037000000000001</v>
      </c>
      <c r="F70" s="7">
        <v>0.26907999999999999</v>
      </c>
      <c r="G70" s="7">
        <v>4.5514999999999999</v>
      </c>
      <c r="H70" s="7">
        <v>0.14982999999999999</v>
      </c>
      <c r="I70" s="4">
        <f>G70/E70</f>
        <v>1.377697732844992</v>
      </c>
      <c r="J70" s="4">
        <f>F70*E70</f>
        <v>0.88895959599999996</v>
      </c>
      <c r="K70" s="4">
        <f>H70*G70</f>
        <v>0.68195124499999993</v>
      </c>
      <c r="L70" s="4">
        <f>J70-K70</f>
        <v>0.20700835100000003</v>
      </c>
      <c r="M70" s="4">
        <f>K70/J70</f>
        <v>0.76713412855717678</v>
      </c>
      <c r="N70" s="6">
        <v>30</v>
      </c>
    </row>
    <row r="71" spans="2:14" x14ac:dyDescent="0.25">
      <c r="B71" s="6">
        <v>0.2</v>
      </c>
      <c r="C71" s="4">
        <f>1/(1-2*B71)</f>
        <v>1.6666666666666667</v>
      </c>
      <c r="D71" s="4" t="str">
        <f t="shared" ref="D71:D72" si="60">TEXT(ROUND(E71,3),"#,#")&amp;"_"&amp;TEXT(B71,"0,##")</f>
        <v>3,3_0,2</v>
      </c>
      <c r="E71" s="7">
        <v>3.3012700000000001</v>
      </c>
      <c r="F71" s="7">
        <v>0.50953499999999996</v>
      </c>
      <c r="G71" s="7">
        <v>4.4050000000000002</v>
      </c>
      <c r="H71" s="7">
        <v>0.29067999999999999</v>
      </c>
      <c r="I71" s="4">
        <f>G71/E71</f>
        <v>1.3343349680577474</v>
      </c>
      <c r="J71" s="4">
        <f>F71*E71</f>
        <v>1.6821126094499999</v>
      </c>
      <c r="K71" s="4">
        <f>H71*G71</f>
        <v>1.2804454000000001</v>
      </c>
      <c r="L71" s="4">
        <f t="shared" ref="L71:L73" si="61">J71-K71</f>
        <v>0.40166720944999978</v>
      </c>
      <c r="M71" s="4">
        <f t="shared" ref="M71:M73" si="62">K71/J71</f>
        <v>0.76121265176097053</v>
      </c>
      <c r="N71" s="6">
        <v>15</v>
      </c>
    </row>
    <row r="72" spans="2:14" x14ac:dyDescent="0.25">
      <c r="B72" s="6">
        <v>0.2</v>
      </c>
      <c r="C72" s="4">
        <f>1/(1-2*B72)</f>
        <v>1.6666666666666667</v>
      </c>
      <c r="D72" s="4" t="str">
        <f t="shared" si="60"/>
        <v>3,3_0,2</v>
      </c>
      <c r="E72" s="7">
        <v>3.3004600000000002</v>
      </c>
      <c r="F72" s="7">
        <v>1.37317</v>
      </c>
      <c r="G72" s="7">
        <v>4.0941999999999998</v>
      </c>
      <c r="H72" s="7">
        <v>0.79852999999999996</v>
      </c>
      <c r="I72" s="4">
        <f>G72/E72</f>
        <v>1.2404937493561503</v>
      </c>
      <c r="J72" s="4">
        <f>F72*E72</f>
        <v>4.5320926581999998</v>
      </c>
      <c r="K72" s="4">
        <f>H72*G72</f>
        <v>3.2693415259999998</v>
      </c>
      <c r="L72" s="4">
        <f t="shared" si="61"/>
        <v>1.2627511322</v>
      </c>
      <c r="M72" s="4">
        <f t="shared" si="62"/>
        <v>0.72137570269767526</v>
      </c>
      <c r="N72" s="6">
        <v>5</v>
      </c>
    </row>
    <row r="73" spans="2:14" x14ac:dyDescent="0.25">
      <c r="B73" s="6">
        <v>0.2</v>
      </c>
      <c r="C73" s="4">
        <f>1/(1-2*B73)</f>
        <v>1.6666666666666667</v>
      </c>
      <c r="D73" s="4" t="str">
        <f>TEXT(ROUND(E73,3),"#,#")&amp;"_"&amp;TEXT(B73,"0,##")</f>
        <v>3,3_0,2</v>
      </c>
      <c r="E73" s="7">
        <v>3.3008000000000002</v>
      </c>
      <c r="F73" s="7">
        <v>4.8570000000000002</v>
      </c>
      <c r="G73" s="7">
        <v>3.2296999999999998</v>
      </c>
      <c r="H73" s="7">
        <v>2.8521000000000001</v>
      </c>
      <c r="I73" s="4">
        <f>G73/E73</f>
        <v>0.9784597673291322</v>
      </c>
      <c r="J73" s="4">
        <f>F73*E73</f>
        <v>16.031985600000002</v>
      </c>
      <c r="K73" s="4">
        <f>H73*G73</f>
        <v>9.2114273699999991</v>
      </c>
      <c r="L73" s="4">
        <f t="shared" si="61"/>
        <v>6.8205582300000032</v>
      </c>
      <c r="M73" s="4">
        <f t="shared" si="62"/>
        <v>0.57456559654095485</v>
      </c>
      <c r="N73" s="6">
        <v>1</v>
      </c>
    </row>
    <row r="74" spans="2:14" x14ac:dyDescent="0.25">
      <c r="D74" s="4"/>
      <c r="E74" s="7"/>
      <c r="F74" s="7"/>
      <c r="G74" s="7"/>
      <c r="H74" s="7"/>
      <c r="I74" s="4"/>
      <c r="J74" s="4"/>
      <c r="K74" s="4"/>
      <c r="L74" s="4"/>
      <c r="M74" s="4"/>
    </row>
    <row r="75" spans="2:14" x14ac:dyDescent="0.25">
      <c r="B75" s="6">
        <v>0.2</v>
      </c>
      <c r="C75" s="4">
        <f>1/(1-2*B75)</f>
        <v>1.6666666666666667</v>
      </c>
      <c r="D75" s="4" t="str">
        <f>TEXT(ROUND(E75,3),"#")&amp;"_"&amp;TEXT(B75,"0,##")</f>
        <v>5_0,2</v>
      </c>
      <c r="E75" s="7">
        <v>5.0059300000000002</v>
      </c>
      <c r="F75" s="7">
        <v>0.52015</v>
      </c>
      <c r="G75" s="7">
        <v>7.3753000000000002</v>
      </c>
      <c r="H75" s="7">
        <v>0.29337000000000002</v>
      </c>
      <c r="I75" s="4">
        <f>G75/E75</f>
        <v>1.473312651195682</v>
      </c>
      <c r="J75" s="4">
        <f>F75*E75</f>
        <v>2.6038344895000001</v>
      </c>
      <c r="K75" s="4">
        <f>H75*G75</f>
        <v>2.1636917610000004</v>
      </c>
      <c r="L75" s="4">
        <f>J75-K75</f>
        <v>0.44014272849999969</v>
      </c>
      <c r="M75" s="4">
        <f>K75/J75</f>
        <v>0.83096363064746182</v>
      </c>
      <c r="N75" s="6">
        <v>25</v>
      </c>
    </row>
    <row r="76" spans="2:14" x14ac:dyDescent="0.25">
      <c r="B76" s="6">
        <v>0.2</v>
      </c>
      <c r="C76" s="4">
        <f>1/(1-2*B76)</f>
        <v>1.6666666666666667</v>
      </c>
      <c r="D76" s="4" t="str">
        <f t="shared" ref="D76:D79" si="63">TEXT(ROUND(E76,3),"#")&amp;"_"&amp;TEXT(B76,"0,##")</f>
        <v>5_0,2</v>
      </c>
      <c r="E76" s="7">
        <v>5.0012999999999996</v>
      </c>
      <c r="F76" s="7">
        <v>1.2124999999999999</v>
      </c>
      <c r="G76" s="7">
        <v>7.0815000000000001</v>
      </c>
      <c r="H76" s="7">
        <v>0.69896000000000003</v>
      </c>
      <c r="I76" s="4">
        <f>G76/E76</f>
        <v>1.4159318577169937</v>
      </c>
      <c r="J76" s="4">
        <f>F76*E76</f>
        <v>6.0640762499999994</v>
      </c>
      <c r="K76" s="4">
        <f>H76*G76</f>
        <v>4.94968524</v>
      </c>
      <c r="L76" s="4">
        <f t="shared" ref="L76:L79" si="64">J76-K76</f>
        <v>1.1143910099999994</v>
      </c>
      <c r="M76" s="4">
        <f t="shared" ref="M76:M79" si="65">K76/J76</f>
        <v>0.81623070620195459</v>
      </c>
      <c r="N76" s="6">
        <v>10</v>
      </c>
    </row>
    <row r="77" spans="2:14" x14ac:dyDescent="0.25">
      <c r="B77" s="6">
        <v>0.2</v>
      </c>
      <c r="C77" s="4">
        <f>1/(1-2*B77)</f>
        <v>1.6666666666666667</v>
      </c>
      <c r="D77" s="4" t="str">
        <f t="shared" si="63"/>
        <v>5_0,2</v>
      </c>
      <c r="E77" s="7">
        <v>5.0050999999999997</v>
      </c>
      <c r="F77" s="7">
        <v>2.2751000000000001</v>
      </c>
      <c r="G77" s="7">
        <v>6.7747000000000002</v>
      </c>
      <c r="H77" s="7">
        <v>1.3214900000000001</v>
      </c>
      <c r="I77" s="4">
        <f>G77/E77</f>
        <v>1.353559369443168</v>
      </c>
      <c r="J77" s="4">
        <f>F77*E77</f>
        <v>11.387103010000001</v>
      </c>
      <c r="K77" s="4">
        <f>H77*G77</f>
        <v>8.952698303</v>
      </c>
      <c r="L77" s="4">
        <f t="shared" si="64"/>
        <v>2.4344047070000006</v>
      </c>
      <c r="M77" s="4">
        <f t="shared" si="65"/>
        <v>0.78621386801698911</v>
      </c>
      <c r="N77" s="6">
        <v>5</v>
      </c>
    </row>
    <row r="78" spans="2:14" x14ac:dyDescent="0.25">
      <c r="B78" s="6">
        <v>0.2</v>
      </c>
      <c r="C78" s="4">
        <f>1/(1-2*B78)</f>
        <v>1.6666666666666667</v>
      </c>
      <c r="D78" s="4" t="str">
        <f t="shared" si="63"/>
        <v>5_0,2</v>
      </c>
      <c r="E78" s="7">
        <v>5.0082000000000004</v>
      </c>
      <c r="F78" s="7">
        <v>4.1216600000000003</v>
      </c>
      <c r="G78" s="7">
        <v>6.319</v>
      </c>
      <c r="H78" s="7">
        <v>2.4031500000000001</v>
      </c>
      <c r="I78" s="4">
        <f>G78/E78</f>
        <v>1.2617307615510562</v>
      </c>
      <c r="J78" s="4">
        <f>F78*E78</f>
        <v>20.642097612000004</v>
      </c>
      <c r="K78" s="4">
        <f>H78*G78</f>
        <v>15.185504850000001</v>
      </c>
      <c r="L78" s="4">
        <f t="shared" si="64"/>
        <v>5.4565927620000032</v>
      </c>
      <c r="M78" s="4">
        <f t="shared" si="65"/>
        <v>0.7356570604128968</v>
      </c>
      <c r="N78" s="6">
        <v>2.5</v>
      </c>
    </row>
    <row r="79" spans="2:14" x14ac:dyDescent="0.25">
      <c r="B79" s="6">
        <v>0.2</v>
      </c>
      <c r="C79" s="4">
        <f>1/(1-2*B79)</f>
        <v>1.6666666666666667</v>
      </c>
      <c r="D79" s="4" t="str">
        <f t="shared" si="63"/>
        <v>5_0,2</v>
      </c>
      <c r="E79" s="7">
        <v>5.0042999999999997</v>
      </c>
      <c r="F79" s="7">
        <v>5.5331000000000001</v>
      </c>
      <c r="G79" s="7">
        <v>6.0430000000000001</v>
      </c>
      <c r="H79" s="7">
        <v>3.2299000000000002</v>
      </c>
      <c r="I79" s="4">
        <f>G79/E79</f>
        <v>1.2075614971124833</v>
      </c>
      <c r="J79" s="4">
        <f>F79*E79</f>
        <v>27.689292330000001</v>
      </c>
      <c r="K79" s="4">
        <f>H79*G79</f>
        <v>19.518285700000003</v>
      </c>
      <c r="L79" s="4">
        <f t="shared" si="64"/>
        <v>8.1710066299999973</v>
      </c>
      <c r="M79" s="4">
        <f t="shared" si="65"/>
        <v>0.70490373922821026</v>
      </c>
      <c r="N79" s="6">
        <v>1.7</v>
      </c>
    </row>
    <row r="81" spans="2:14" x14ac:dyDescent="0.25">
      <c r="B81" s="6">
        <v>0.2</v>
      </c>
      <c r="C81" s="4">
        <f t="shared" ref="C81:C85" si="66">1/(1-2*B81)</f>
        <v>1.6666666666666667</v>
      </c>
      <c r="D81" s="4" t="str">
        <f>TEXT(ROUND(E81,3),"#")&amp;"_"&amp;TEXT(B81,"0,##")</f>
        <v>9_0,2</v>
      </c>
      <c r="E81" s="7">
        <v>9.0035000000000007</v>
      </c>
      <c r="F81" s="7">
        <v>0.63749999999999996</v>
      </c>
      <c r="G81" s="7">
        <v>14.263</v>
      </c>
      <c r="H81" s="7">
        <v>0.35513</v>
      </c>
      <c r="I81" s="4">
        <f t="shared" ref="I81:I85" si="67">G81/E81</f>
        <v>1.5841617148886542</v>
      </c>
      <c r="J81" s="4">
        <f t="shared" ref="J81:J85" si="68">F81*E81</f>
        <v>5.7397312500000002</v>
      </c>
      <c r="K81" s="4">
        <f t="shared" ref="K81:K85" si="69">H81*G81</f>
        <v>5.0652191899999996</v>
      </c>
      <c r="L81" s="4">
        <f>J81-K81</f>
        <v>0.67451206000000052</v>
      </c>
      <c r="M81" s="4">
        <f>K81/J81</f>
        <v>0.88248368597397298</v>
      </c>
      <c r="N81" s="6">
        <v>40</v>
      </c>
    </row>
    <row r="82" spans="2:14" x14ac:dyDescent="0.25">
      <c r="B82" s="6">
        <v>0.2</v>
      </c>
      <c r="C82" s="4">
        <f t="shared" si="66"/>
        <v>1.6666666666666667</v>
      </c>
      <c r="D82" s="4" t="str">
        <f t="shared" ref="D82:D85" si="70">TEXT(ROUND(E82,3),"#")&amp;"_"&amp;TEXT(B82,"0,##")</f>
        <v>9_0,2</v>
      </c>
      <c r="E82" s="7">
        <v>9.0042000000000009</v>
      </c>
      <c r="F82" s="7">
        <v>1.2192700000000001</v>
      </c>
      <c r="G82" s="7">
        <v>13.987299999999999</v>
      </c>
      <c r="H82" s="7">
        <v>0.69457500000000005</v>
      </c>
      <c r="I82" s="4">
        <f t="shared" si="67"/>
        <v>1.5534195153372867</v>
      </c>
      <c r="J82" s="4">
        <f t="shared" si="68"/>
        <v>10.978550934000001</v>
      </c>
      <c r="K82" s="4">
        <f t="shared" si="69"/>
        <v>9.7152288975000012</v>
      </c>
      <c r="L82" s="4">
        <f t="shared" ref="L82:L85" si="71">J82-K82</f>
        <v>1.2633220365</v>
      </c>
      <c r="M82" s="4">
        <f t="shared" ref="M82:M85" si="72">K82/J82</f>
        <v>0.88492816182256284</v>
      </c>
      <c r="N82" s="6">
        <v>20</v>
      </c>
    </row>
    <row r="83" spans="2:14" x14ac:dyDescent="0.25">
      <c r="B83" s="6">
        <v>0.2</v>
      </c>
      <c r="C83" s="4">
        <f t="shared" si="66"/>
        <v>1.6666666666666667</v>
      </c>
      <c r="D83" s="4" t="str">
        <f t="shared" si="70"/>
        <v>9_0,2</v>
      </c>
      <c r="E83" s="7">
        <v>9.0076999999999998</v>
      </c>
      <c r="F83" s="7">
        <v>2.3357700000000001</v>
      </c>
      <c r="G83" s="7">
        <v>13.632999999999999</v>
      </c>
      <c r="H83" s="7">
        <v>1.34623</v>
      </c>
      <c r="I83" s="4">
        <f t="shared" si="67"/>
        <v>1.5134829090666873</v>
      </c>
      <c r="J83" s="4">
        <f t="shared" si="68"/>
        <v>21.039915429000001</v>
      </c>
      <c r="K83" s="4">
        <f t="shared" si="69"/>
        <v>18.353153589999998</v>
      </c>
      <c r="L83" s="4">
        <f t="shared" si="71"/>
        <v>2.6867618390000025</v>
      </c>
      <c r="M83" s="4">
        <f t="shared" si="72"/>
        <v>0.8723016806761138</v>
      </c>
      <c r="N83" s="6">
        <v>10</v>
      </c>
    </row>
    <row r="84" spans="2:14" x14ac:dyDescent="0.25">
      <c r="B84" s="6">
        <v>0.2</v>
      </c>
      <c r="C84" s="4">
        <f t="shared" si="66"/>
        <v>1.6666666666666667</v>
      </c>
      <c r="D84" s="4" t="str">
        <f t="shared" si="70"/>
        <v>9_0,2</v>
      </c>
      <c r="E84" s="7">
        <v>9.0050000000000008</v>
      </c>
      <c r="F84" s="7">
        <v>4.3969899999999997</v>
      </c>
      <c r="G84" s="7">
        <v>13.0886</v>
      </c>
      <c r="H84" s="7">
        <v>2.54888</v>
      </c>
      <c r="I84" s="4">
        <f t="shared" si="67"/>
        <v>1.4534813992226538</v>
      </c>
      <c r="J84" s="4">
        <f t="shared" si="68"/>
        <v>39.594894950000004</v>
      </c>
      <c r="K84" s="4">
        <f t="shared" si="69"/>
        <v>33.361270767999997</v>
      </c>
      <c r="L84" s="4">
        <f t="shared" si="71"/>
        <v>6.2336241820000069</v>
      </c>
      <c r="M84" s="4">
        <f t="shared" si="72"/>
        <v>0.84256495212648608</v>
      </c>
      <c r="N84" s="6">
        <v>5</v>
      </c>
    </row>
    <row r="85" spans="2:14" x14ac:dyDescent="0.25">
      <c r="B85" s="6">
        <v>0.2</v>
      </c>
      <c r="C85" s="4">
        <f t="shared" si="66"/>
        <v>1.6666666666666667</v>
      </c>
      <c r="D85" s="4" t="str">
        <f t="shared" si="70"/>
        <v>9_0,2</v>
      </c>
      <c r="E85" s="7">
        <v>9.0045000000000002</v>
      </c>
      <c r="F85" s="7">
        <v>5.9889999999999999</v>
      </c>
      <c r="G85" s="7">
        <v>12.738</v>
      </c>
      <c r="H85" s="7">
        <v>3.476</v>
      </c>
      <c r="I85" s="4">
        <f t="shared" si="67"/>
        <v>1.4146260203231718</v>
      </c>
      <c r="J85" s="4">
        <f t="shared" si="68"/>
        <v>53.927950500000001</v>
      </c>
      <c r="K85" s="4">
        <f t="shared" si="69"/>
        <v>44.277287999999999</v>
      </c>
      <c r="L85" s="4">
        <f t="shared" si="71"/>
        <v>9.6506625000000028</v>
      </c>
      <c r="M85" s="4">
        <f t="shared" si="72"/>
        <v>0.82104525741248036</v>
      </c>
      <c r="N85" s="6">
        <v>3.5</v>
      </c>
    </row>
    <row r="86" spans="2:14" x14ac:dyDescent="0.25">
      <c r="C86" s="4"/>
      <c r="D86" s="4"/>
      <c r="E86" s="7"/>
      <c r="F86" s="7"/>
      <c r="G86" s="7"/>
      <c r="H86" s="7"/>
      <c r="I86" s="4"/>
      <c r="J86" s="4"/>
      <c r="K86" s="4"/>
      <c r="L86" s="4"/>
      <c r="M86" s="4"/>
    </row>
    <row r="87" spans="2:14" x14ac:dyDescent="0.25">
      <c r="B87" s="6">
        <v>0.2</v>
      </c>
      <c r="C87" s="4">
        <f t="shared" ref="C87:C90" si="73">1/(1-2*B87)</f>
        <v>1.6666666666666667</v>
      </c>
      <c r="D87" s="4" t="str">
        <f>TEXT(ROUND(E87,3),"#")&amp;"_"&amp;TEXT(B87,"0,##")</f>
        <v>12_0,2</v>
      </c>
      <c r="E87" s="7">
        <v>12.0022</v>
      </c>
      <c r="F87" s="7">
        <v>0.77197000000000005</v>
      </c>
      <c r="G87" s="7">
        <v>19.382999999999999</v>
      </c>
      <c r="H87" s="7">
        <v>0.42909999999999998</v>
      </c>
      <c r="I87" s="4">
        <f t="shared" ref="I87:I90" si="74">G87/E87</f>
        <v>1.614953925113729</v>
      </c>
      <c r="J87" s="4">
        <f t="shared" ref="J87:J90" si="75">F87*E87</f>
        <v>9.2653383340000008</v>
      </c>
      <c r="K87" s="4">
        <f t="shared" ref="K87:K90" si="76">H87*G87</f>
        <v>8.3172452999999997</v>
      </c>
      <c r="L87" s="4">
        <f>J87-K87</f>
        <v>0.94809303400000111</v>
      </c>
      <c r="M87" s="4">
        <f>K87/J87</f>
        <v>0.89767313401596061</v>
      </c>
      <c r="N87" s="6">
        <v>45</v>
      </c>
    </row>
    <row r="88" spans="2:14" x14ac:dyDescent="0.25">
      <c r="B88" s="6">
        <v>0.2</v>
      </c>
      <c r="C88" s="4">
        <f t="shared" si="73"/>
        <v>1.6666666666666667</v>
      </c>
      <c r="D88" s="4" t="str">
        <f t="shared" ref="D88:D90" si="77">TEXT(ROUND(E88,3),"#")&amp;"_"&amp;TEXT(B88,"0,##")</f>
        <v>12_0,2</v>
      </c>
      <c r="E88" s="7">
        <v>12.006600000000001</v>
      </c>
      <c r="F88" s="7">
        <v>1.65865</v>
      </c>
      <c r="G88" s="7">
        <v>19.007000000000001</v>
      </c>
      <c r="H88" s="7">
        <v>0.94547000000000003</v>
      </c>
      <c r="I88" s="4">
        <f t="shared" si="74"/>
        <v>1.5830459913714123</v>
      </c>
      <c r="J88" s="4">
        <f t="shared" si="75"/>
        <v>19.914747089999999</v>
      </c>
      <c r="K88" s="4">
        <f t="shared" si="76"/>
        <v>17.970548290000004</v>
      </c>
      <c r="L88" s="4">
        <f t="shared" ref="L88:L90" si="78">J88-K88</f>
        <v>1.9441987999999952</v>
      </c>
      <c r="M88" s="4">
        <f t="shared" ref="M88:M90" si="79">K88/J88</f>
        <v>0.9023739146064147</v>
      </c>
      <c r="N88" s="6">
        <v>20</v>
      </c>
    </row>
    <row r="89" spans="2:14" x14ac:dyDescent="0.25">
      <c r="B89" s="6">
        <v>0.2</v>
      </c>
      <c r="C89" s="4">
        <f t="shared" si="73"/>
        <v>1.6666666666666667</v>
      </c>
      <c r="D89" s="4" t="str">
        <f t="shared" si="77"/>
        <v>12_0,2</v>
      </c>
      <c r="E89" s="7">
        <v>12.007</v>
      </c>
      <c r="F89" s="7">
        <v>3.1808999999999998</v>
      </c>
      <c r="G89" s="7">
        <v>18.55</v>
      </c>
      <c r="H89" s="7">
        <v>1.8319000000000001</v>
      </c>
      <c r="I89" s="4">
        <f t="shared" si="74"/>
        <v>1.544932122928292</v>
      </c>
      <c r="J89" s="4">
        <f t="shared" si="75"/>
        <v>38.193066299999998</v>
      </c>
      <c r="K89" s="4">
        <f t="shared" si="76"/>
        <v>33.981745000000004</v>
      </c>
      <c r="L89" s="4">
        <f t="shared" si="78"/>
        <v>4.2113212999999945</v>
      </c>
      <c r="M89" s="4">
        <f t="shared" si="79"/>
        <v>0.88973597283546735</v>
      </c>
      <c r="N89" s="6">
        <v>10</v>
      </c>
    </row>
    <row r="90" spans="2:14" x14ac:dyDescent="0.25">
      <c r="B90" s="6">
        <v>0.2</v>
      </c>
      <c r="C90" s="4">
        <f t="shared" si="73"/>
        <v>1.6666666666666667</v>
      </c>
      <c r="D90" s="4" t="str">
        <f t="shared" si="77"/>
        <v>12_0,2</v>
      </c>
      <c r="E90" s="7">
        <v>12.03</v>
      </c>
      <c r="F90" s="7">
        <v>6.0484999999999998</v>
      </c>
      <c r="G90" s="7">
        <v>17.922000000000001</v>
      </c>
      <c r="H90" s="7">
        <v>3.4994999999999998</v>
      </c>
      <c r="I90" s="4">
        <f t="shared" si="74"/>
        <v>1.489775561097257</v>
      </c>
      <c r="J90" s="4">
        <f t="shared" si="75"/>
        <v>72.763454999999993</v>
      </c>
      <c r="K90" s="4">
        <f t="shared" si="76"/>
        <v>62.718038999999997</v>
      </c>
      <c r="L90" s="4">
        <f t="shared" si="78"/>
        <v>10.045415999999996</v>
      </c>
      <c r="M90" s="4">
        <f t="shared" si="79"/>
        <v>0.86194421361657447</v>
      </c>
      <c r="N90" s="6">
        <v>5</v>
      </c>
    </row>
    <row r="91" spans="2:14" x14ac:dyDescent="0.25">
      <c r="C91" s="4"/>
      <c r="D91" s="4"/>
      <c r="E91" s="7"/>
      <c r="F91" s="7"/>
      <c r="G91" s="7"/>
      <c r="H91" s="7"/>
      <c r="I91" s="4"/>
      <c r="J91" s="4"/>
      <c r="K91" s="4"/>
      <c r="L91" s="4"/>
      <c r="M91" s="4"/>
    </row>
    <row r="92" spans="2:14" x14ac:dyDescent="0.25">
      <c r="B92" s="6">
        <v>0.2</v>
      </c>
      <c r="C92" s="4">
        <f>1/(1-2*B92)</f>
        <v>1.6666666666666667</v>
      </c>
      <c r="D92" s="4" t="str">
        <f>TEXT(ROUND(E92,3),"#")&amp;"_"&amp;TEXT(B92,"0,##")</f>
        <v>24_0,2</v>
      </c>
      <c r="E92" s="7">
        <v>24.01</v>
      </c>
      <c r="F92" s="7">
        <v>1.5821000000000001</v>
      </c>
      <c r="G92" s="7">
        <v>39.817</v>
      </c>
      <c r="H92" s="7">
        <v>0.88383</v>
      </c>
      <c r="I92" s="4">
        <f>G92/E92</f>
        <v>1.6583506872136609</v>
      </c>
      <c r="J92" s="4">
        <f>F92*E92</f>
        <v>37.986221</v>
      </c>
      <c r="K92" s="4">
        <f>H92*G92</f>
        <v>35.191459110000004</v>
      </c>
      <c r="L92" s="4">
        <f>J92-K92</f>
        <v>2.7947618899999966</v>
      </c>
      <c r="M92" s="4">
        <f>K92/J92</f>
        <v>0.92642695650088502</v>
      </c>
      <c r="N92" s="6">
        <v>45</v>
      </c>
    </row>
    <row r="93" spans="2:14" x14ac:dyDescent="0.25">
      <c r="B93" s="6">
        <v>0.2</v>
      </c>
      <c r="C93" s="4">
        <f>1/(1-2*B93)</f>
        <v>1.6666666666666667</v>
      </c>
      <c r="D93" s="4" t="str">
        <f t="shared" ref="D93:D94" si="80">TEXT(ROUND(E93,3),"#")&amp;"_"&amp;TEXT(B93,"0,##")</f>
        <v>24_0,2</v>
      </c>
      <c r="E93" s="7">
        <v>24.021999999999998</v>
      </c>
      <c r="F93" s="7">
        <v>2.77</v>
      </c>
      <c r="G93" s="7">
        <v>39.408000000000001</v>
      </c>
      <c r="H93" s="7">
        <v>1.5710999999999999</v>
      </c>
      <c r="I93" s="4">
        <f>G93/E93</f>
        <v>1.6404962118058448</v>
      </c>
      <c r="J93" s="4">
        <f>F93*E93</f>
        <v>66.540939999999992</v>
      </c>
      <c r="K93" s="4">
        <f>H93*G93</f>
        <v>61.913908800000002</v>
      </c>
      <c r="L93" s="4">
        <f t="shared" ref="L93:L94" si="81">J93-K93</f>
        <v>4.6270311999999905</v>
      </c>
      <c r="M93" s="4">
        <f t="shared" ref="M93:M94" si="82">K93/J93</f>
        <v>0.9304633929126942</v>
      </c>
      <c r="N93" s="6">
        <v>25</v>
      </c>
    </row>
    <row r="94" spans="2:14" x14ac:dyDescent="0.25">
      <c r="B94" s="6">
        <v>0.2</v>
      </c>
      <c r="C94" s="4">
        <f>1/(1-2*B94)</f>
        <v>1.6666666666666667</v>
      </c>
      <c r="D94" s="4" t="str">
        <f t="shared" si="80"/>
        <v>24_0,2</v>
      </c>
      <c r="E94" s="7">
        <v>24.010999999999999</v>
      </c>
      <c r="F94" s="7">
        <v>3.4272</v>
      </c>
      <c r="G94" s="7">
        <v>39.204000000000001</v>
      </c>
      <c r="H94" s="7">
        <v>1.9511000000000001</v>
      </c>
      <c r="I94" s="4">
        <f>G94/E94</f>
        <v>1.6327516554912334</v>
      </c>
      <c r="J94" s="4">
        <f>F94*E94</f>
        <v>82.290499199999999</v>
      </c>
      <c r="K94" s="4">
        <f>H94*G94</f>
        <v>76.490924399999997</v>
      </c>
      <c r="L94" s="4">
        <f t="shared" si="81"/>
        <v>5.799574800000002</v>
      </c>
      <c r="M94" s="4">
        <f t="shared" si="82"/>
        <v>0.92952315447856704</v>
      </c>
      <c r="N94" s="6">
        <v>20</v>
      </c>
    </row>
    <row r="95" spans="2:14" x14ac:dyDescent="0.25">
      <c r="C95" s="4"/>
      <c r="D95" s="4"/>
      <c r="E95" s="7"/>
      <c r="F95" s="7"/>
      <c r="G95" s="7"/>
      <c r="H95" s="7"/>
      <c r="I95" s="4"/>
      <c r="J95" s="4"/>
      <c r="K95" s="4"/>
      <c r="L95" s="4"/>
      <c r="M95" s="4"/>
    </row>
    <row r="96" spans="2:14" x14ac:dyDescent="0.25">
      <c r="B96" s="6">
        <v>0.25</v>
      </c>
      <c r="C96" s="4">
        <f>1/(1-2*B96)</f>
        <v>2</v>
      </c>
      <c r="D96" s="4" t="str">
        <f>TEXT(ROUND(E96,3),"#,#")&amp;"_"&amp;TEXT(B96,"0,##")</f>
        <v>3,3_0,25</v>
      </c>
      <c r="E96" s="7">
        <v>3.3043</v>
      </c>
      <c r="F96" s="7">
        <v>0.30474000000000001</v>
      </c>
      <c r="G96" s="7">
        <v>5.5610999999999997</v>
      </c>
      <c r="H96" s="7">
        <v>0.13827999999999999</v>
      </c>
      <c r="I96" s="4">
        <f>G96/E96</f>
        <v>1.6829888327331053</v>
      </c>
      <c r="J96" s="4">
        <f>F96*E96</f>
        <v>1.0069523820000001</v>
      </c>
      <c r="K96" s="4">
        <f>H96*G96</f>
        <v>0.76898890799999986</v>
      </c>
      <c r="L96" s="4">
        <f>J96-K96</f>
        <v>0.23796347400000029</v>
      </c>
      <c r="M96" s="4">
        <f>K96/J96</f>
        <v>0.76367951627726494</v>
      </c>
      <c r="N96" s="6">
        <v>40</v>
      </c>
    </row>
    <row r="97" spans="2:14" x14ac:dyDescent="0.25">
      <c r="B97" s="6">
        <v>0.25</v>
      </c>
      <c r="C97" s="4">
        <f>1/(1-2*B97)</f>
        <v>2</v>
      </c>
      <c r="D97" s="4" t="str">
        <f t="shared" ref="D97:D99" si="83">TEXT(ROUND(E97,3),"#,#")&amp;"_"&amp;TEXT(B97,"0,##")</f>
        <v>3,3_0,25</v>
      </c>
      <c r="E97" s="7">
        <v>3.3005</v>
      </c>
      <c r="F97" s="7">
        <v>0.56899999999999995</v>
      </c>
      <c r="G97" s="7">
        <v>5.3715999999999999</v>
      </c>
      <c r="H97" s="7">
        <v>0.2666</v>
      </c>
      <c r="I97" s="4">
        <f>G97/E97</f>
        <v>1.6275109831843659</v>
      </c>
      <c r="J97" s="4">
        <f>F97*E97</f>
        <v>1.8779844999999997</v>
      </c>
      <c r="K97" s="4">
        <f>H97*G97</f>
        <v>1.43206856</v>
      </c>
      <c r="L97" s="4">
        <f t="shared" ref="L97:L99" si="84">J97-K97</f>
        <v>0.44591593999999968</v>
      </c>
      <c r="M97" s="4">
        <f t="shared" ref="M97:M99" si="85">K97/J97</f>
        <v>0.76255611268357126</v>
      </c>
      <c r="N97" s="6">
        <v>20</v>
      </c>
    </row>
    <row r="98" spans="2:14" x14ac:dyDescent="0.25">
      <c r="B98" s="6">
        <v>0.25</v>
      </c>
      <c r="C98" s="4">
        <f>1/(1-2*B98)</f>
        <v>2</v>
      </c>
      <c r="D98" s="4" t="str">
        <f t="shared" si="83"/>
        <v>3,3_0,25</v>
      </c>
      <c r="E98" s="7">
        <v>3.3041</v>
      </c>
      <c r="F98" s="7">
        <v>1.0649999999999999</v>
      </c>
      <c r="G98" s="7">
        <v>5.1497000000000002</v>
      </c>
      <c r="H98" s="7">
        <v>0.50790000000000002</v>
      </c>
      <c r="I98" s="4">
        <f>G98/E98</f>
        <v>1.5585787355104266</v>
      </c>
      <c r="J98" s="4">
        <f>F98*E98</f>
        <v>3.5188664999999997</v>
      </c>
      <c r="K98" s="4">
        <f>H98*G98</f>
        <v>2.6155326300000001</v>
      </c>
      <c r="L98" s="4">
        <f t="shared" si="84"/>
        <v>0.90333386999999954</v>
      </c>
      <c r="M98" s="4">
        <f t="shared" si="85"/>
        <v>0.74328839414624015</v>
      </c>
      <c r="N98" s="6">
        <v>10</v>
      </c>
    </row>
    <row r="99" spans="2:14" x14ac:dyDescent="0.25">
      <c r="B99" s="6">
        <v>0.25</v>
      </c>
      <c r="C99" s="4">
        <f>1/(1-2*B99)</f>
        <v>2</v>
      </c>
      <c r="D99" s="4" t="str">
        <f t="shared" si="83"/>
        <v>3,3_0,25</v>
      </c>
      <c r="E99" s="7">
        <v>3.3001</v>
      </c>
      <c r="F99" s="7">
        <v>1.9535</v>
      </c>
      <c r="G99" s="7">
        <v>4.8224</v>
      </c>
      <c r="H99" s="7">
        <v>0.9405</v>
      </c>
      <c r="I99" s="4">
        <f>G99/E99</f>
        <v>1.4612890518469137</v>
      </c>
      <c r="J99" s="4">
        <f>F99*E99</f>
        <v>6.4467453500000005</v>
      </c>
      <c r="K99" s="4">
        <f>H99*G99</f>
        <v>4.5354672000000003</v>
      </c>
      <c r="L99" s="4">
        <f t="shared" si="84"/>
        <v>1.9112781500000002</v>
      </c>
      <c r="M99" s="4">
        <f t="shared" si="85"/>
        <v>0.70352820745432421</v>
      </c>
      <c r="N99" s="6">
        <v>5</v>
      </c>
    </row>
    <row r="100" spans="2:14" x14ac:dyDescent="0.25">
      <c r="B100" s="6">
        <v>0.25</v>
      </c>
      <c r="C100" s="4">
        <f>1/(1-2*B100)</f>
        <v>2</v>
      </c>
      <c r="D100" s="4" t="str">
        <f>TEXT(ROUND(E100,3),"#,#")&amp;"_"&amp;TEXT(B100,"0,##")</f>
        <v>3,3_0,25</v>
      </c>
      <c r="E100" s="7">
        <v>3.3</v>
      </c>
      <c r="F100" s="7">
        <v>4.9790000000000001</v>
      </c>
      <c r="G100" s="7">
        <v>3.9039999999999999</v>
      </c>
      <c r="H100" s="7">
        <v>2.419</v>
      </c>
      <c r="I100" s="4">
        <f>G100/E100</f>
        <v>1.1830303030303031</v>
      </c>
      <c r="J100" s="4">
        <f>F100*E100</f>
        <v>16.430699999999998</v>
      </c>
      <c r="K100" s="4">
        <f>H100*G100</f>
        <v>9.4437759999999997</v>
      </c>
      <c r="L100" s="4">
        <f t="shared" ref="L100" si="86">J100-K100</f>
        <v>6.9869239999999984</v>
      </c>
      <c r="M100" s="4">
        <f t="shared" ref="M100" si="87">K100/J100</f>
        <v>0.57476406969879557</v>
      </c>
      <c r="N100" s="6">
        <v>1.5</v>
      </c>
    </row>
    <row r="102" spans="2:14" x14ac:dyDescent="0.25">
      <c r="B102" s="6">
        <v>0.25</v>
      </c>
      <c r="C102" s="4">
        <f>1/(1-2*B102)</f>
        <v>2</v>
      </c>
      <c r="D102" s="4" t="str">
        <f>TEXT(ROUND(E102,3),"#")&amp;"_"&amp;TEXT(B102,"0,##")</f>
        <v>5_0,25</v>
      </c>
      <c r="E102" s="7">
        <v>5.0012999999999996</v>
      </c>
      <c r="F102" s="7">
        <v>0.49232999999999999</v>
      </c>
      <c r="G102" s="7">
        <v>9.0399999999999991</v>
      </c>
      <c r="H102" s="7">
        <v>0.22508</v>
      </c>
      <c r="I102" s="4">
        <f>G102/E102</f>
        <v>1.8075300421890308</v>
      </c>
      <c r="J102" s="4">
        <f>F102*E102</f>
        <v>2.4622900289999996</v>
      </c>
      <c r="K102" s="4">
        <f>H102*G102</f>
        <v>2.0347231999999997</v>
      </c>
      <c r="L102" s="4">
        <f>J102-K102</f>
        <v>0.42756682899999987</v>
      </c>
      <c r="M102" s="4">
        <f>K102/J102</f>
        <v>0.82635399406070542</v>
      </c>
      <c r="N102" s="6">
        <v>40</v>
      </c>
    </row>
    <row r="103" spans="2:14" x14ac:dyDescent="0.25">
      <c r="B103" s="6">
        <v>0.25</v>
      </c>
      <c r="C103" s="4">
        <f>1/(1-2*B103)</f>
        <v>2</v>
      </c>
      <c r="D103" s="4" t="str">
        <f>TEXT(ROUND(E103,3),"#")&amp;"_"&amp;TEXT(B103,"0,##")</f>
        <v>5_0,25</v>
      </c>
      <c r="E103" s="7">
        <v>5.0000999999999998</v>
      </c>
      <c r="F103" s="7">
        <v>0.92893999999999999</v>
      </c>
      <c r="G103" s="7">
        <v>8.7780000000000005</v>
      </c>
      <c r="H103" s="7">
        <v>0.43642999999999998</v>
      </c>
      <c r="I103" s="4">
        <f>G103/E103</f>
        <v>1.7555648887022262</v>
      </c>
      <c r="J103" s="4">
        <f>F103*E103</f>
        <v>4.6447928940000001</v>
      </c>
      <c r="K103" s="4">
        <f>H103*G103</f>
        <v>3.8309825399999999</v>
      </c>
      <c r="L103" s="4">
        <f t="shared" ref="L103:L106" si="88">J103-K103</f>
        <v>0.81381035400000012</v>
      </c>
      <c r="M103" s="4">
        <f t="shared" ref="M103:M106" si="89">K103/J103</f>
        <v>0.82479082004899396</v>
      </c>
      <c r="N103" s="6">
        <v>20</v>
      </c>
    </row>
    <row r="104" spans="2:14" x14ac:dyDescent="0.25">
      <c r="B104" s="6">
        <v>0.25</v>
      </c>
      <c r="C104" s="4">
        <f>1/(1-2*B104)</f>
        <v>2</v>
      </c>
      <c r="D104" s="4" t="str">
        <f>TEXT(ROUND(E104,3),"#")&amp;"_"&amp;TEXT(B104,"0,##")</f>
        <v>5_0,25</v>
      </c>
      <c r="E104" s="7">
        <v>5.0038</v>
      </c>
      <c r="F104" s="7">
        <v>1.7473000000000001</v>
      </c>
      <c r="G104" s="7">
        <v>8.4499999999999993</v>
      </c>
      <c r="H104" s="7">
        <v>0.83399999999999996</v>
      </c>
      <c r="I104" s="4">
        <f>G104/E104</f>
        <v>1.6887165754026938</v>
      </c>
      <c r="J104" s="4">
        <f>F104*E104</f>
        <v>8.7431397400000002</v>
      </c>
      <c r="K104" s="4">
        <f>H104*G104</f>
        <v>7.047299999999999</v>
      </c>
      <c r="L104" s="4">
        <f t="shared" si="88"/>
        <v>1.6958397400000012</v>
      </c>
      <c r="M104" s="4">
        <f t="shared" si="89"/>
        <v>0.80603767177121644</v>
      </c>
      <c r="N104" s="6">
        <v>10</v>
      </c>
    </row>
    <row r="105" spans="2:14" x14ac:dyDescent="0.25">
      <c r="B105" s="6">
        <v>0.25</v>
      </c>
      <c r="C105" s="4">
        <f>1/(1-2*B105)</f>
        <v>2</v>
      </c>
      <c r="D105" s="4" t="str">
        <f t="shared" ref="D105:D106" si="90">TEXT(ROUND(E105,3),"#")&amp;"_"&amp;TEXT(B105,"0,##")</f>
        <v>5_0,25</v>
      </c>
      <c r="E105" s="7">
        <v>5.0053999999999998</v>
      </c>
      <c r="F105" s="7">
        <v>3.2269999999999999</v>
      </c>
      <c r="G105" s="7">
        <v>7.9459999999999997</v>
      </c>
      <c r="H105" s="7">
        <v>1.552</v>
      </c>
      <c r="I105" s="4">
        <f>G105/E105</f>
        <v>1.5874855156431054</v>
      </c>
      <c r="J105" s="4">
        <f>F105*E105</f>
        <v>16.1524258</v>
      </c>
      <c r="K105" s="4">
        <f>H105*G105</f>
        <v>12.332191999999999</v>
      </c>
      <c r="L105" s="4">
        <f t="shared" si="88"/>
        <v>3.8202338000000005</v>
      </c>
      <c r="M105" s="4">
        <f t="shared" si="89"/>
        <v>0.76348854052621618</v>
      </c>
      <c r="N105" s="6">
        <v>5</v>
      </c>
    </row>
    <row r="106" spans="2:14" x14ac:dyDescent="0.25">
      <c r="B106" s="6">
        <v>0.25</v>
      </c>
      <c r="C106" s="4">
        <f>1/(1-2*B106)</f>
        <v>2</v>
      </c>
      <c r="D106" s="4" t="str">
        <f t="shared" si="90"/>
        <v>5_0,25</v>
      </c>
      <c r="E106" s="7">
        <v>5.0359999999999996</v>
      </c>
      <c r="F106" s="7">
        <v>5.7793999999999999</v>
      </c>
      <c r="G106" s="7">
        <v>7.3120000000000003</v>
      </c>
      <c r="H106" s="7">
        <v>2.7906</v>
      </c>
      <c r="I106" s="4">
        <f>G106/E106</f>
        <v>1.4519459888800637</v>
      </c>
      <c r="J106" s="4">
        <f>F106*E106</f>
        <v>29.105058399999997</v>
      </c>
      <c r="K106" s="4">
        <f>H106*G106</f>
        <v>20.404867200000002</v>
      </c>
      <c r="L106" s="4">
        <f t="shared" si="88"/>
        <v>8.7001911999999955</v>
      </c>
      <c r="M106" s="4">
        <f t="shared" si="89"/>
        <v>0.70107631874739695</v>
      </c>
      <c r="N106" s="6">
        <v>2.5</v>
      </c>
    </row>
    <row r="108" spans="2:14" x14ac:dyDescent="0.25">
      <c r="B108" s="6">
        <v>0.25</v>
      </c>
      <c r="C108" s="4">
        <f>1/(1-2*B108)</f>
        <v>2</v>
      </c>
      <c r="D108" s="4" t="str">
        <f>TEXT(ROUND(E108,3),"#")&amp;"_"&amp;TEXT(B108,"0,##")</f>
        <v>9_0,25</v>
      </c>
      <c r="E108" s="7">
        <v>9.016</v>
      </c>
      <c r="F108" s="7">
        <v>0.75556000000000001</v>
      </c>
      <c r="G108" s="7">
        <v>17.271999999999998</v>
      </c>
      <c r="H108" s="7">
        <v>0.34378999999999998</v>
      </c>
      <c r="I108" s="4">
        <f>G108/E108</f>
        <v>1.9157054125998223</v>
      </c>
      <c r="J108" s="4">
        <f>F108*E108</f>
        <v>6.8121289599999999</v>
      </c>
      <c r="K108" s="4">
        <f>H108*G108</f>
        <v>5.9379408799999993</v>
      </c>
      <c r="L108" s="4">
        <f>J108-K108</f>
        <v>0.87418808000000059</v>
      </c>
      <c r="M108" s="4">
        <f>K108/J108</f>
        <v>0.87167182460386061</v>
      </c>
      <c r="N108" s="6">
        <v>50</v>
      </c>
    </row>
    <row r="109" spans="2:14" x14ac:dyDescent="0.25">
      <c r="B109" s="6">
        <v>0.25</v>
      </c>
      <c r="C109" s="4">
        <f>1/(1-2*B109)</f>
        <v>2</v>
      </c>
      <c r="D109" s="4" t="str">
        <f>TEXT(ROUND(E109,3),"#")&amp;"_"&amp;TEXT(B109,"0,##")</f>
        <v>9_0,25</v>
      </c>
      <c r="E109" s="7">
        <v>9.0122999999999998</v>
      </c>
      <c r="F109" s="7">
        <v>1.4392499999999999</v>
      </c>
      <c r="G109" s="7">
        <v>16.898</v>
      </c>
      <c r="H109" s="7">
        <v>0.67390000000000005</v>
      </c>
      <c r="I109" s="4">
        <f>G109/E109</f>
        <v>1.8749930650333433</v>
      </c>
      <c r="J109" s="4">
        <f>F109*E109</f>
        <v>12.970952774999999</v>
      </c>
      <c r="K109" s="4">
        <f>H109*G109</f>
        <v>11.387562200000001</v>
      </c>
      <c r="L109" s="4">
        <f t="shared" ref="L109:L111" si="91">J109-K109</f>
        <v>1.5833905749999975</v>
      </c>
      <c r="M109" s="4">
        <f t="shared" ref="M109:M111" si="92">K109/J109</f>
        <v>0.87792796701474407</v>
      </c>
      <c r="N109" s="6">
        <v>25</v>
      </c>
    </row>
    <row r="110" spans="2:14" x14ac:dyDescent="0.25">
      <c r="B110" s="6">
        <v>0.25</v>
      </c>
      <c r="C110" s="4">
        <f>1/(1-2*B110)</f>
        <v>2</v>
      </c>
      <c r="D110" s="4" t="str">
        <f>TEXT(ROUND(E110,3),"#")&amp;"_"&amp;TEXT(B110,"0,##")</f>
        <v>9_0,25</v>
      </c>
      <c r="E110" s="7">
        <v>9.0149000000000008</v>
      </c>
      <c r="F110" s="7">
        <v>2.7376999999999998</v>
      </c>
      <c r="G110" s="7">
        <v>16.404499999999999</v>
      </c>
      <c r="H110" s="7">
        <v>1.3008999999999999</v>
      </c>
      <c r="I110" s="4">
        <f>G110/E110</f>
        <v>1.8197095918978576</v>
      </c>
      <c r="J110" s="4">
        <f>F110*E110</f>
        <v>24.680091730000001</v>
      </c>
      <c r="K110" s="4">
        <f>H110*G110</f>
        <v>21.340614049999999</v>
      </c>
      <c r="L110" s="4">
        <f t="shared" si="91"/>
        <v>3.3394776800000017</v>
      </c>
      <c r="M110" s="4">
        <f t="shared" si="92"/>
        <v>0.86468941377796082</v>
      </c>
      <c r="N110" s="6">
        <v>12.5</v>
      </c>
    </row>
    <row r="111" spans="2:14" x14ac:dyDescent="0.25">
      <c r="B111" s="6">
        <v>0.25</v>
      </c>
      <c r="C111" s="4">
        <f>1/(1-2*B111)</f>
        <v>2</v>
      </c>
      <c r="D111" s="4" t="str">
        <f t="shared" ref="D111" si="93">TEXT(ROUND(E111,3),"#")&amp;"_"&amp;TEXT(B111,"0,##")</f>
        <v>9_0,25</v>
      </c>
      <c r="E111" s="7">
        <v>9.0166000000000004</v>
      </c>
      <c r="F111" s="7">
        <v>5.7854999999999999</v>
      </c>
      <c r="G111" s="7">
        <v>15.541</v>
      </c>
      <c r="H111" s="7">
        <v>2.7704</v>
      </c>
      <c r="I111" s="4">
        <f>G111/E111</f>
        <v>1.7235986957389704</v>
      </c>
      <c r="J111" s="4">
        <f>F111*E111</f>
        <v>52.165539299999999</v>
      </c>
      <c r="K111" s="4">
        <f>H111*G111</f>
        <v>43.054786399999998</v>
      </c>
      <c r="L111" s="4">
        <f t="shared" si="91"/>
        <v>9.1107529000000014</v>
      </c>
      <c r="M111" s="4">
        <f t="shared" si="92"/>
        <v>0.82534920519838273</v>
      </c>
      <c r="N111" s="6">
        <v>5.5</v>
      </c>
    </row>
    <row r="112" spans="2:14" x14ac:dyDescent="0.25">
      <c r="C112" s="4"/>
      <c r="D112" s="4"/>
      <c r="E112" s="7"/>
      <c r="F112" s="7"/>
      <c r="G112" s="7"/>
      <c r="H112" s="7"/>
      <c r="I112" s="4"/>
      <c r="J112" s="4"/>
      <c r="K112" s="4"/>
      <c r="L112" s="4"/>
      <c r="M112" s="4"/>
    </row>
    <row r="113" spans="2:14" x14ac:dyDescent="0.25">
      <c r="B113" s="6">
        <v>0.25</v>
      </c>
      <c r="C113" s="4">
        <f t="shared" ref="C113:C116" si="94">1/(1-2*B113)</f>
        <v>2</v>
      </c>
      <c r="D113" s="4" t="str">
        <f>TEXT(ROUND(E113,3),"#")&amp;"_"&amp;TEXT(B113,"0,##")</f>
        <v>12_0,25</v>
      </c>
      <c r="E113" s="7">
        <v>12.023999999999999</v>
      </c>
      <c r="F113" s="7">
        <v>1.0236000000000001</v>
      </c>
      <c r="G113" s="7">
        <v>23.388000000000002</v>
      </c>
      <c r="H113" s="7">
        <v>0.46722000000000002</v>
      </c>
      <c r="I113" s="4">
        <f t="shared" ref="I113:I116" si="95">G113/E113</f>
        <v>1.945109780439122</v>
      </c>
      <c r="J113" s="4">
        <f t="shared" ref="J113:J116" si="96">F113*E113</f>
        <v>12.3077664</v>
      </c>
      <c r="K113" s="4">
        <f t="shared" ref="K113:K116" si="97">H113*G113</f>
        <v>10.927341360000002</v>
      </c>
      <c r="L113" s="4">
        <f>J113-K113</f>
        <v>1.3804250399999987</v>
      </c>
      <c r="M113" s="4">
        <f>K113/J113</f>
        <v>0.88784114069633313</v>
      </c>
      <c r="N113" s="6">
        <v>50</v>
      </c>
    </row>
    <row r="114" spans="2:14" x14ac:dyDescent="0.25">
      <c r="B114" s="6">
        <v>0.25</v>
      </c>
      <c r="C114" s="4">
        <f t="shared" si="94"/>
        <v>2</v>
      </c>
      <c r="D114" s="4" t="str">
        <f t="shared" ref="D114:D116" si="98">TEXT(ROUND(E114,3),"#")&amp;"_"&amp;TEXT(B114,"0,##")</f>
        <v>12_0,25</v>
      </c>
      <c r="E114" s="7">
        <v>12.035399999999999</v>
      </c>
      <c r="F114" s="7">
        <v>1.9558</v>
      </c>
      <c r="G114" s="7">
        <v>22.978000000000002</v>
      </c>
      <c r="H114" s="7">
        <v>0.91607000000000005</v>
      </c>
      <c r="I114" s="4">
        <f t="shared" si="95"/>
        <v>1.9092011898233547</v>
      </c>
      <c r="J114" s="4">
        <f t="shared" si="96"/>
        <v>23.538835319999997</v>
      </c>
      <c r="K114" s="4">
        <f t="shared" si="97"/>
        <v>21.049456460000002</v>
      </c>
      <c r="L114" s="4">
        <f t="shared" ref="L114:L116" si="99">J114-K114</f>
        <v>2.4893788599999951</v>
      </c>
      <c r="M114" s="4">
        <f t="shared" ref="M114:M116" si="100">K114/J114</f>
        <v>0.89424375394287792</v>
      </c>
      <c r="N114" s="6">
        <v>25</v>
      </c>
    </row>
    <row r="115" spans="2:14" x14ac:dyDescent="0.25">
      <c r="B115" s="6">
        <v>0.25</v>
      </c>
      <c r="C115" s="4">
        <f t="shared" si="94"/>
        <v>2</v>
      </c>
      <c r="D115" s="4" t="str">
        <f t="shared" si="98"/>
        <v>12_0,25</v>
      </c>
      <c r="E115" s="7">
        <v>12.032999999999999</v>
      </c>
      <c r="F115" s="7">
        <v>3.7370000000000001</v>
      </c>
      <c r="G115" s="7">
        <v>22.332999999999998</v>
      </c>
      <c r="H115" s="7">
        <v>1.7734000000000001</v>
      </c>
      <c r="I115" s="4">
        <f t="shared" si="95"/>
        <v>1.8559793900108035</v>
      </c>
      <c r="J115" s="4">
        <f t="shared" si="96"/>
        <v>44.967320999999998</v>
      </c>
      <c r="K115" s="4">
        <f t="shared" si="97"/>
        <v>39.605342200000003</v>
      </c>
      <c r="L115" s="4">
        <f t="shared" si="99"/>
        <v>5.3619787999999957</v>
      </c>
      <c r="M115" s="4">
        <f t="shared" si="100"/>
        <v>0.88075832224917294</v>
      </c>
      <c r="N115" s="6">
        <v>12.5</v>
      </c>
    </row>
    <row r="116" spans="2:14" x14ac:dyDescent="0.25">
      <c r="B116" s="6">
        <v>0.25</v>
      </c>
      <c r="C116" s="4">
        <f t="shared" si="94"/>
        <v>2</v>
      </c>
      <c r="D116" s="4" t="str">
        <f t="shared" si="98"/>
        <v>12_0,25</v>
      </c>
      <c r="E116" s="7">
        <v>12.02</v>
      </c>
      <c r="F116" s="7">
        <v>6.0039999999999996</v>
      </c>
      <c r="G116" s="7">
        <v>21.736999999999998</v>
      </c>
      <c r="H116" s="7">
        <v>2.8620000000000001</v>
      </c>
      <c r="I116" s="4">
        <f t="shared" si="95"/>
        <v>1.8084026622296172</v>
      </c>
      <c r="J116" s="4">
        <f t="shared" si="96"/>
        <v>72.168079999999989</v>
      </c>
      <c r="K116" s="4">
        <f t="shared" si="97"/>
        <v>62.211293999999995</v>
      </c>
      <c r="L116" s="4">
        <f t="shared" si="99"/>
        <v>9.9567859999999939</v>
      </c>
      <c r="M116" s="4">
        <f t="shared" si="100"/>
        <v>0.86203338096288562</v>
      </c>
      <c r="N116" s="6">
        <v>7.5</v>
      </c>
    </row>
    <row r="118" spans="2:14" x14ac:dyDescent="0.25">
      <c r="B118" s="6">
        <v>0.25</v>
      </c>
      <c r="C118" s="4">
        <f t="shared" ref="C118:C121" si="101">1/(1-2*B118)</f>
        <v>2</v>
      </c>
      <c r="D118" s="4" t="str">
        <f>TEXT(ROUND(E118,3),"#")&amp;"_"&amp;TEXT(B118,"0,##")</f>
        <v>24_0,25</v>
      </c>
      <c r="E118" s="7">
        <v>24.010999999999999</v>
      </c>
      <c r="F118" s="7">
        <v>2.0947</v>
      </c>
      <c r="G118" s="7">
        <v>48.033999999999999</v>
      </c>
      <c r="H118" s="7">
        <v>0.95836600000000005</v>
      </c>
      <c r="I118" s="4">
        <f t="shared" ref="I118:I121" si="102">G118/E118</f>
        <v>2.0004997709383199</v>
      </c>
      <c r="J118" s="4">
        <f t="shared" ref="J118:J121" si="103">F118*E118</f>
        <v>50.295841699999997</v>
      </c>
      <c r="K118" s="4">
        <f t="shared" ref="K118:K121" si="104">H118*G118</f>
        <v>46.034152444</v>
      </c>
      <c r="L118" s="4">
        <f>J118-K118</f>
        <v>4.2616892559999968</v>
      </c>
      <c r="M118" s="4">
        <f>K118/J118</f>
        <v>0.91526756264623765</v>
      </c>
      <c r="N118" s="6">
        <v>50</v>
      </c>
    </row>
    <row r="119" spans="2:14" x14ac:dyDescent="0.25">
      <c r="B119" s="6">
        <v>0.25</v>
      </c>
      <c r="C119" s="4">
        <f t="shared" si="101"/>
        <v>2</v>
      </c>
      <c r="D119" s="4" t="str">
        <f t="shared" ref="D119:D121" si="105">TEXT(ROUND(E119,3),"#")&amp;"_"&amp;TEXT(B119,"0,##")</f>
        <v>24_0,25</v>
      </c>
      <c r="E119" s="7">
        <v>24.036000000000001</v>
      </c>
      <c r="F119" s="7">
        <v>2.5991</v>
      </c>
      <c r="G119" s="7">
        <v>47.853999999999999</v>
      </c>
      <c r="H119" s="7">
        <v>1.1988000000000001</v>
      </c>
      <c r="I119" s="4">
        <f t="shared" si="102"/>
        <v>1.990930271259777</v>
      </c>
      <c r="J119" s="4">
        <f t="shared" si="103"/>
        <v>62.471967599999999</v>
      </c>
      <c r="K119" s="4">
        <f t="shared" si="104"/>
        <v>57.367375200000005</v>
      </c>
      <c r="L119" s="4">
        <f t="shared" ref="L119:L121" si="106">J119-K119</f>
        <v>5.1045923999999943</v>
      </c>
      <c r="M119" s="4">
        <f t="shared" ref="M119:M121" si="107">K119/J119</f>
        <v>0.91828987310462118</v>
      </c>
      <c r="N119" s="6">
        <v>40</v>
      </c>
    </row>
    <row r="120" spans="2:14" x14ac:dyDescent="0.25">
      <c r="B120" s="6">
        <v>0.25</v>
      </c>
      <c r="C120" s="4">
        <f t="shared" si="101"/>
        <v>2</v>
      </c>
      <c r="D120" s="4" t="str">
        <f t="shared" si="105"/>
        <v>24_0,25</v>
      </c>
      <c r="E120" s="7">
        <v>24.007999999999999</v>
      </c>
      <c r="F120" s="7">
        <v>3.4009999999999998</v>
      </c>
      <c r="G120" s="7">
        <v>47.484999999999999</v>
      </c>
      <c r="H120" s="7">
        <v>1.581</v>
      </c>
      <c r="I120" s="4">
        <f t="shared" si="102"/>
        <v>1.9778823725424859</v>
      </c>
      <c r="J120" s="4">
        <f t="shared" si="103"/>
        <v>81.651207999999997</v>
      </c>
      <c r="K120" s="4">
        <f t="shared" si="104"/>
        <v>75.073785000000001</v>
      </c>
      <c r="L120" s="4">
        <f t="shared" si="106"/>
        <v>6.577422999999996</v>
      </c>
      <c r="M120" s="4">
        <f t="shared" si="107"/>
        <v>0.91944487826805943</v>
      </c>
      <c r="N120" s="6">
        <v>30</v>
      </c>
    </row>
    <row r="121" spans="2:14" x14ac:dyDescent="0.25">
      <c r="B121" s="6">
        <v>0.25</v>
      </c>
      <c r="C121" s="4">
        <f t="shared" si="101"/>
        <v>2</v>
      </c>
      <c r="D121" s="4" t="str">
        <f t="shared" si="105"/>
        <v>24_0,25</v>
      </c>
      <c r="E121" s="7">
        <v>24.003</v>
      </c>
      <c r="F121" s="7">
        <v>4.0422000000000002</v>
      </c>
      <c r="G121" s="7">
        <v>47.274000000000001</v>
      </c>
      <c r="H121" s="7">
        <v>1.8869</v>
      </c>
      <c r="I121" s="4">
        <f t="shared" si="102"/>
        <v>1.9695038120234971</v>
      </c>
      <c r="J121" s="4">
        <f t="shared" si="103"/>
        <v>97.024926600000001</v>
      </c>
      <c r="K121" s="4">
        <f t="shared" si="104"/>
        <v>89.201310599999999</v>
      </c>
      <c r="L121" s="4">
        <f t="shared" si="106"/>
        <v>7.8236160000000012</v>
      </c>
      <c r="M121" s="4">
        <f t="shared" si="107"/>
        <v>0.91936488617761036</v>
      </c>
      <c r="N121" s="6">
        <v>25</v>
      </c>
    </row>
    <row r="123" spans="2:14" x14ac:dyDescent="0.25">
      <c r="B123" s="7">
        <f>1/3</f>
        <v>0.33333333333333331</v>
      </c>
      <c r="C123" s="4">
        <f>1/(1-2*B123)</f>
        <v>2.9999999999999996</v>
      </c>
      <c r="D123" s="4" t="str">
        <f>TEXT(ROUND(E123,3),"#,#")&amp;"_"&amp;TEXT(B123,"0,##")</f>
        <v>3,3_0,33</v>
      </c>
      <c r="E123" s="7">
        <v>3.3050999999999999</v>
      </c>
      <c r="F123" s="7">
        <v>0.47192000000000001</v>
      </c>
      <c r="G123" s="7">
        <v>8.3603000000000005</v>
      </c>
      <c r="H123" s="7">
        <v>0.13905000000000001</v>
      </c>
      <c r="I123" s="4">
        <f>G123/E123</f>
        <v>2.5295149919820883</v>
      </c>
      <c r="J123" s="4">
        <f>F123*E123</f>
        <v>1.559742792</v>
      </c>
      <c r="K123" s="4">
        <f>H123*G123</f>
        <v>1.162499715</v>
      </c>
      <c r="L123" s="4">
        <f>J123-K123</f>
        <v>0.39724307699999994</v>
      </c>
      <c r="M123" s="4">
        <f>K123/J123</f>
        <v>0.74531501024561242</v>
      </c>
      <c r="N123" s="6">
        <v>60</v>
      </c>
    </row>
    <row r="124" spans="2:14" x14ac:dyDescent="0.25">
      <c r="B124" s="7">
        <f t="shared" ref="B124:B125" si="108">1/3</f>
        <v>0.33333333333333331</v>
      </c>
      <c r="C124" s="4">
        <f>1/(1-2*B124)</f>
        <v>2.9999999999999996</v>
      </c>
      <c r="D124" s="4" t="str">
        <f t="shared" ref="D124:D126" si="109">TEXT(ROUND(E124,3),"#,#")&amp;"_"&amp;TEXT(B124,"0,##")</f>
        <v>3,3_0,33</v>
      </c>
      <c r="E124" s="7">
        <v>3.3005</v>
      </c>
      <c r="F124" s="7">
        <v>0.86360999999999999</v>
      </c>
      <c r="G124" s="7">
        <v>8.0222999999999995</v>
      </c>
      <c r="H124" s="7">
        <v>0.26666000000000001</v>
      </c>
      <c r="I124" s="4">
        <f>G124/E124</f>
        <v>2.430631722466293</v>
      </c>
      <c r="J124" s="4">
        <f>F124*E124</f>
        <v>2.8503448049999998</v>
      </c>
      <c r="K124" s="4">
        <f>H124*G124</f>
        <v>2.1392265180000001</v>
      </c>
      <c r="L124" s="4">
        <f t="shared" ref="L124:L127" si="110">J124-K124</f>
        <v>0.71111828699999968</v>
      </c>
      <c r="M124" s="4">
        <f t="shared" ref="M124:M127" si="111">K124/J124</f>
        <v>0.75051499532527621</v>
      </c>
      <c r="N124" s="6">
        <v>30</v>
      </c>
    </row>
    <row r="125" spans="2:14" x14ac:dyDescent="0.25">
      <c r="B125" s="7">
        <f t="shared" si="108"/>
        <v>0.33333333333333331</v>
      </c>
      <c r="C125" s="4">
        <f>1/(1-2*B125)</f>
        <v>2.9999999999999996</v>
      </c>
      <c r="D125" s="4" t="str">
        <f t="shared" si="109"/>
        <v>3,3_0,33</v>
      </c>
      <c r="E125" s="7">
        <v>3.3083999999999998</v>
      </c>
      <c r="F125" s="7">
        <v>1.5908</v>
      </c>
      <c r="G125" s="7">
        <v>7.6020000000000003</v>
      </c>
      <c r="H125" s="7">
        <v>0.50353999999999999</v>
      </c>
      <c r="I125" s="4">
        <f>G125/E125</f>
        <v>2.29778745012695</v>
      </c>
      <c r="J125" s="4">
        <f>F125*E125</f>
        <v>5.2630027199999994</v>
      </c>
      <c r="K125" s="4">
        <f>H125*G125</f>
        <v>3.8279110800000002</v>
      </c>
      <c r="L125" s="4">
        <f t="shared" si="110"/>
        <v>1.4350916399999991</v>
      </c>
      <c r="M125" s="4">
        <f t="shared" si="111"/>
        <v>0.72732454905514488</v>
      </c>
      <c r="N125" s="6">
        <v>15</v>
      </c>
    </row>
    <row r="126" spans="2:14" x14ac:dyDescent="0.25">
      <c r="B126" s="7">
        <f>1/3</f>
        <v>0.33333333333333331</v>
      </c>
      <c r="C126" s="4">
        <f>1/(1-2*B126)</f>
        <v>2.9999999999999996</v>
      </c>
      <c r="D126" s="4" t="str">
        <f t="shared" si="109"/>
        <v>3,3_0,33</v>
      </c>
      <c r="E126" s="7">
        <v>3.3068499999999998</v>
      </c>
      <c r="F126" s="7">
        <v>3.9225099999999999</v>
      </c>
      <c r="G126" s="7">
        <v>6.4687999999999999</v>
      </c>
      <c r="H126" s="7">
        <v>1.26309</v>
      </c>
      <c r="I126" s="4">
        <f>G126/E126</f>
        <v>1.9561818649167637</v>
      </c>
      <c r="J126" s="4">
        <f>F126*E126</f>
        <v>12.9711521935</v>
      </c>
      <c r="K126" s="4">
        <f>H126*G126</f>
        <v>8.1706765919999995</v>
      </c>
      <c r="L126" s="4">
        <f t="shared" si="110"/>
        <v>4.8004756015000005</v>
      </c>
      <c r="M126" s="4">
        <f t="shared" si="111"/>
        <v>0.62991139646749528</v>
      </c>
      <c r="N126" s="6">
        <v>5</v>
      </c>
    </row>
    <row r="127" spans="2:14" x14ac:dyDescent="0.25">
      <c r="B127" s="7">
        <f>1/3</f>
        <v>0.33333333333333331</v>
      </c>
      <c r="C127" s="4">
        <f>1/(1-2*B127)</f>
        <v>2.9999999999999996</v>
      </c>
      <c r="D127" s="4" t="str">
        <f>TEXT(ROUND(E127,3),"#,#")&amp;"_"&amp;TEXT(B127,"0,##")</f>
        <v>3,3_0,33</v>
      </c>
      <c r="E127" s="7">
        <v>3.3003999999999998</v>
      </c>
      <c r="F127" s="7">
        <v>5.1079999999999997</v>
      </c>
      <c r="G127" s="7">
        <v>5.9660000000000002</v>
      </c>
      <c r="H127" s="7">
        <v>1.6519999999999999</v>
      </c>
      <c r="I127" s="4">
        <f>G127/E127</f>
        <v>1.8076596776148348</v>
      </c>
      <c r="J127" s="4">
        <f>F127*E127</f>
        <v>16.858443199999996</v>
      </c>
      <c r="K127" s="4">
        <f>H127*G127</f>
        <v>9.8558319999999995</v>
      </c>
      <c r="L127" s="4">
        <f t="shared" si="110"/>
        <v>7.0026111999999969</v>
      </c>
      <c r="M127" s="4">
        <f t="shared" si="111"/>
        <v>0.58462290278381113</v>
      </c>
      <c r="N127" s="6">
        <v>3.5</v>
      </c>
    </row>
    <row r="129" spans="2:14" x14ac:dyDescent="0.25">
      <c r="B129" s="7">
        <f>1/3</f>
        <v>0.33333333333333331</v>
      </c>
      <c r="C129" s="4">
        <f>1/(1-2*B129)</f>
        <v>2.9999999999999996</v>
      </c>
      <c r="D129" s="4" t="str">
        <f>TEXT(ROUND(E129,3),"#")&amp;"_"&amp;TEXT(B129,"0,##")</f>
        <v>5_0,33</v>
      </c>
      <c r="E129" s="7">
        <v>5.0019</v>
      </c>
      <c r="F129" s="7">
        <v>0.75395999999999996</v>
      </c>
      <c r="G129" s="7">
        <v>13.534000000000001</v>
      </c>
      <c r="H129" s="7">
        <v>0.22378999999999999</v>
      </c>
      <c r="I129" s="4">
        <f>G129/E129</f>
        <v>2.7057718067134489</v>
      </c>
      <c r="J129" s="4">
        <f>F129*E129</f>
        <v>3.7712325239999998</v>
      </c>
      <c r="K129" s="4">
        <f>H129*G129</f>
        <v>3.0287738599999998</v>
      </c>
      <c r="L129" s="4">
        <f>J129-K129</f>
        <v>0.74245866399999993</v>
      </c>
      <c r="M129" s="4">
        <f>K129/J129</f>
        <v>0.80312572633084345</v>
      </c>
      <c r="N129" s="6">
        <v>60</v>
      </c>
    </row>
    <row r="130" spans="2:14" x14ac:dyDescent="0.25">
      <c r="B130" s="7">
        <f t="shared" ref="B130:B131" si="112">1/3</f>
        <v>0.33333333333333331</v>
      </c>
      <c r="C130" s="4">
        <f>1/(1-2*B130)</f>
        <v>2.9999999999999996</v>
      </c>
      <c r="D130" s="4" t="str">
        <f>TEXT(ROUND(E130,3),"#")&amp;"_"&amp;TEXT(B130,"0,##")</f>
        <v>5_0,33</v>
      </c>
      <c r="E130" s="7">
        <v>5.0084</v>
      </c>
      <c r="F130" s="7">
        <v>1.4016999999999999</v>
      </c>
      <c r="G130" s="7">
        <v>13.068</v>
      </c>
      <c r="H130" s="7">
        <v>0.43364000000000003</v>
      </c>
      <c r="I130" s="4">
        <f>G130/E130</f>
        <v>2.6092165162526952</v>
      </c>
      <c r="J130" s="4">
        <f>F130*E130</f>
        <v>7.0202742799999998</v>
      </c>
      <c r="K130" s="4">
        <f>H130*G130</f>
        <v>5.6668075199999999</v>
      </c>
      <c r="L130" s="4">
        <f t="shared" ref="L130:L132" si="113">J130-K130</f>
        <v>1.3534667599999999</v>
      </c>
      <c r="M130" s="4">
        <f t="shared" ref="M130:M132" si="114">K130/J130</f>
        <v>0.80720599993423625</v>
      </c>
      <c r="N130" s="6">
        <v>30</v>
      </c>
    </row>
    <row r="131" spans="2:14" x14ac:dyDescent="0.25">
      <c r="B131" s="7">
        <f t="shared" si="112"/>
        <v>0.33333333333333331</v>
      </c>
      <c r="C131" s="4">
        <f>1/(1-2*B131)</f>
        <v>2.9999999999999996</v>
      </c>
      <c r="D131" s="4" t="str">
        <f>TEXT(ROUND(E131,3),"#")&amp;"_"&amp;TEXT(B131,"0,##")</f>
        <v>5_0,33</v>
      </c>
      <c r="E131" s="7">
        <v>5.0106999999999999</v>
      </c>
      <c r="F131" s="7">
        <v>2.5924</v>
      </c>
      <c r="G131" s="7">
        <v>12.39</v>
      </c>
      <c r="H131" s="7">
        <v>0.81930000000000003</v>
      </c>
      <c r="I131" s="4">
        <f>G131/E131</f>
        <v>2.4727084040154073</v>
      </c>
      <c r="J131" s="4">
        <f>F131*E131</f>
        <v>12.98973868</v>
      </c>
      <c r="K131" s="4">
        <f>H131*G131</f>
        <v>10.151127000000001</v>
      </c>
      <c r="L131" s="4">
        <f t="shared" si="113"/>
        <v>2.8386116799999996</v>
      </c>
      <c r="M131" s="4">
        <f t="shared" si="114"/>
        <v>0.78147276477774386</v>
      </c>
      <c r="N131" s="6">
        <v>15</v>
      </c>
    </row>
    <row r="132" spans="2:14" x14ac:dyDescent="0.25">
      <c r="B132" s="7">
        <f>1/3</f>
        <v>0.33333333333333331</v>
      </c>
      <c r="C132" s="4">
        <f>1/(1-2*B132)</f>
        <v>2.9999999999999996</v>
      </c>
      <c r="D132" s="4" t="str">
        <f t="shared" ref="D132" si="115">TEXT(ROUND(E132,3),"#")&amp;"_"&amp;TEXT(B132,"0,##")</f>
        <v>5_0,33</v>
      </c>
      <c r="E132" s="7">
        <v>5.0045000000000002</v>
      </c>
      <c r="F132" s="7">
        <v>6.0795000000000003</v>
      </c>
      <c r="G132" s="7">
        <v>10.942</v>
      </c>
      <c r="H132" s="7">
        <v>1.9478</v>
      </c>
      <c r="I132" s="4">
        <f>G132/E132</f>
        <v>2.1864322110100907</v>
      </c>
      <c r="J132" s="4">
        <f>F132*E132</f>
        <v>30.424857750000001</v>
      </c>
      <c r="K132" s="4">
        <f>H132*G132</f>
        <v>21.312827599999999</v>
      </c>
      <c r="L132" s="4">
        <f t="shared" si="113"/>
        <v>9.1120301500000025</v>
      </c>
      <c r="M132" s="4">
        <f t="shared" si="114"/>
        <v>0.70050705824581871</v>
      </c>
      <c r="N132" s="6">
        <v>5.5</v>
      </c>
    </row>
    <row r="133" spans="2:14" x14ac:dyDescent="0.25">
      <c r="B133" s="7"/>
      <c r="C133" s="4"/>
      <c r="D133" s="4"/>
      <c r="E133" s="7"/>
      <c r="F133" s="7"/>
      <c r="G133" s="7"/>
      <c r="H133" s="7"/>
      <c r="I133" s="4"/>
      <c r="J133" s="4"/>
      <c r="K133" s="4"/>
      <c r="L133" s="4"/>
      <c r="M133" s="4"/>
    </row>
    <row r="134" spans="2:14" x14ac:dyDescent="0.25">
      <c r="B134" s="7">
        <f>1/3</f>
        <v>0.33333333333333331</v>
      </c>
      <c r="C134" s="4">
        <f>1/(1-2*B134)</f>
        <v>2.9999999999999996</v>
      </c>
      <c r="D134" s="4" t="str">
        <f>TEXT(ROUND(E134,3),"#")&amp;"_"&amp;TEXT(B134,"0,##")</f>
        <v>9_0,33</v>
      </c>
      <c r="E134" s="7">
        <v>9.0006000000000004</v>
      </c>
      <c r="F134" s="7">
        <v>1.32908</v>
      </c>
      <c r="G134" s="7">
        <v>25.637</v>
      </c>
      <c r="H134" s="7">
        <v>0.39457999999999999</v>
      </c>
      <c r="I134" s="4">
        <f>G134/E134</f>
        <v>2.8483656645112547</v>
      </c>
      <c r="J134" s="4">
        <f>F134*E134</f>
        <v>11.962517448000002</v>
      </c>
      <c r="K134" s="4">
        <f>H134*G134</f>
        <v>10.115847459999999</v>
      </c>
      <c r="L134" s="4">
        <f>J134-K134</f>
        <v>1.8466699880000021</v>
      </c>
      <c r="M134" s="4">
        <f>K134/J134</f>
        <v>0.84562864831526374</v>
      </c>
      <c r="N134" s="6">
        <v>65</v>
      </c>
    </row>
    <row r="135" spans="2:14" x14ac:dyDescent="0.25">
      <c r="B135" s="7">
        <f t="shared" ref="B135:B136" si="116">1/3</f>
        <v>0.33333333333333331</v>
      </c>
      <c r="C135" s="4">
        <f>1/(1-2*B135)</f>
        <v>2.9999999999999996</v>
      </c>
      <c r="D135" s="4" t="str">
        <f>TEXT(ROUND(E135,3),"#")&amp;"_"&amp;TEXT(B135,"0,##")</f>
        <v>9_0,33</v>
      </c>
      <c r="E135" s="7">
        <v>9.0039999999999996</v>
      </c>
      <c r="F135" s="7">
        <v>2.6728000000000001</v>
      </c>
      <c r="G135" s="7">
        <v>24.815000000000001</v>
      </c>
      <c r="H135" s="7">
        <v>0.82537000000000005</v>
      </c>
      <c r="I135" s="4">
        <f>G135/E135</f>
        <v>2.7559973345179922</v>
      </c>
      <c r="J135" s="4">
        <f>F135*E135</f>
        <v>24.065891199999999</v>
      </c>
      <c r="K135" s="4">
        <f>H135*G135</f>
        <v>20.481556550000001</v>
      </c>
      <c r="L135" s="4">
        <f t="shared" ref="L135:L137" si="117">J135-K135</f>
        <v>3.5843346499999988</v>
      </c>
      <c r="M135" s="4">
        <f t="shared" ref="M135:M137" si="118">K135/J135</f>
        <v>0.85106162825168929</v>
      </c>
      <c r="N135" s="6">
        <v>30</v>
      </c>
    </row>
    <row r="136" spans="2:14" x14ac:dyDescent="0.25">
      <c r="B136" s="7">
        <f t="shared" si="116"/>
        <v>0.33333333333333331</v>
      </c>
      <c r="C136" s="4">
        <f>1/(1-2*B136)</f>
        <v>2.9999999999999996</v>
      </c>
      <c r="D136" s="4" t="str">
        <f>TEXT(ROUND(E136,3),"#")&amp;"_"&amp;TEXT(B136,"0,##")</f>
        <v>9_0,33</v>
      </c>
      <c r="E136" s="7">
        <v>9.0096000000000007</v>
      </c>
      <c r="F136" s="7">
        <v>5.0252999999999997</v>
      </c>
      <c r="G136" s="7">
        <v>23.81</v>
      </c>
      <c r="H136" s="7">
        <v>1.5778000000000001</v>
      </c>
      <c r="I136" s="4">
        <f>G136/E136</f>
        <v>2.6427366364766467</v>
      </c>
      <c r="J136" s="4">
        <f>F136*E136</f>
        <v>45.275942880000002</v>
      </c>
      <c r="K136" s="4">
        <f>H136*G136</f>
        <v>37.567418000000004</v>
      </c>
      <c r="L136" s="4">
        <f t="shared" si="117"/>
        <v>7.7085248799999988</v>
      </c>
      <c r="M136" s="4">
        <f t="shared" si="118"/>
        <v>0.82974347104309276</v>
      </c>
      <c r="N136" s="6">
        <v>15</v>
      </c>
    </row>
    <row r="137" spans="2:14" x14ac:dyDescent="0.25">
      <c r="B137" s="7">
        <f>1/3</f>
        <v>0.33333333333333331</v>
      </c>
      <c r="C137" s="4">
        <f>1/(1-2*B137)</f>
        <v>2.9999999999999996</v>
      </c>
      <c r="D137" s="4" t="str">
        <f t="shared" ref="D137" si="119">TEXT(ROUND(E137,3),"#")&amp;"_"&amp;TEXT(B137,"0,##")</f>
        <v>9_0,33</v>
      </c>
      <c r="E137" s="7">
        <v>9.0050000000000008</v>
      </c>
      <c r="F137" s="7">
        <v>5.9268999999999998</v>
      </c>
      <c r="G137" s="7">
        <v>23.492999999999999</v>
      </c>
      <c r="H137" s="7">
        <v>1.8667</v>
      </c>
      <c r="I137" s="4">
        <f>G137/E137</f>
        <v>2.6088839533592445</v>
      </c>
      <c r="J137" s="4">
        <f>F137*E137</f>
        <v>53.371734500000002</v>
      </c>
      <c r="K137" s="4">
        <f>H137*G137</f>
        <v>43.8543831</v>
      </c>
      <c r="L137" s="4">
        <f t="shared" si="117"/>
        <v>9.5173514000000026</v>
      </c>
      <c r="M137" s="4">
        <f t="shared" si="118"/>
        <v>0.82167805694978857</v>
      </c>
      <c r="N137" s="6">
        <v>12.5</v>
      </c>
    </row>
    <row r="139" spans="2:14" x14ac:dyDescent="0.25">
      <c r="B139" s="7">
        <f>1/3</f>
        <v>0.33333333333333331</v>
      </c>
      <c r="C139" s="4">
        <f t="shared" ref="C139:C142" si="120">1/(1-2*B139)</f>
        <v>2.9999999999999996</v>
      </c>
      <c r="D139" s="4" t="str">
        <f>TEXT(ROUND(E139,3),"#")&amp;"_"&amp;TEXT(B139,"0,##")</f>
        <v>12_0,33</v>
      </c>
      <c r="E139" s="7">
        <v>12.003299999999999</v>
      </c>
      <c r="F139" s="7">
        <v>1.8037000000000001</v>
      </c>
      <c r="G139" s="7">
        <v>34.853000000000002</v>
      </c>
      <c r="H139" s="7">
        <v>0.53569</v>
      </c>
      <c r="I139" s="4">
        <f t="shared" ref="I139:I142" si="121">G139/E139</f>
        <v>2.903618171669458</v>
      </c>
      <c r="J139" s="4">
        <f t="shared" ref="J139:J142" si="122">F139*E139</f>
        <v>21.650352210000001</v>
      </c>
      <c r="K139" s="4">
        <f t="shared" ref="K139:K142" si="123">H139*G139</f>
        <v>18.670403570000001</v>
      </c>
      <c r="L139" s="4">
        <f>J139-K139</f>
        <v>2.9799486399999999</v>
      </c>
      <c r="M139" s="4">
        <f>K139/J139</f>
        <v>0.86236026965771007</v>
      </c>
      <c r="N139" s="6">
        <v>65</v>
      </c>
    </row>
    <row r="140" spans="2:14" x14ac:dyDescent="0.25">
      <c r="B140" s="7">
        <f t="shared" ref="B140:B141" si="124">1/3</f>
        <v>0.33333333333333331</v>
      </c>
      <c r="C140" s="4">
        <f t="shared" si="120"/>
        <v>2.9999999999999996</v>
      </c>
      <c r="D140" s="4" t="str">
        <f t="shared" ref="D140:D142" si="125">TEXT(ROUND(E140,3),"#")&amp;"_"&amp;TEXT(B140,"0,##")</f>
        <v>12_0,33</v>
      </c>
      <c r="E140" s="7">
        <v>12.013</v>
      </c>
      <c r="F140" s="7">
        <v>2.8068200000000001</v>
      </c>
      <c r="G140" s="7">
        <v>34.250999999999998</v>
      </c>
      <c r="H140" s="7">
        <v>0.85526000000000002</v>
      </c>
      <c r="I140" s="4">
        <f t="shared" si="121"/>
        <v>2.8511612419878465</v>
      </c>
      <c r="J140" s="4">
        <f t="shared" si="122"/>
        <v>33.718328659999997</v>
      </c>
      <c r="K140" s="4">
        <f t="shared" si="123"/>
        <v>29.293510259999998</v>
      </c>
      <c r="L140" s="4">
        <f t="shared" ref="L140:L142" si="126">J140-K140</f>
        <v>4.4248183999999995</v>
      </c>
      <c r="M140" s="4">
        <f t="shared" ref="M140:M142" si="127">K140/J140</f>
        <v>0.86877112312956495</v>
      </c>
      <c r="N140" s="6">
        <v>40</v>
      </c>
    </row>
    <row r="141" spans="2:14" x14ac:dyDescent="0.25">
      <c r="B141" s="7">
        <f t="shared" si="124"/>
        <v>0.33333333333333331</v>
      </c>
      <c r="C141" s="4">
        <f t="shared" si="120"/>
        <v>2.9999999999999996</v>
      </c>
      <c r="D141" s="4" t="str">
        <f t="shared" si="125"/>
        <v>12_0,33</v>
      </c>
      <c r="E141" s="7">
        <v>12.021000000000001</v>
      </c>
      <c r="F141" s="7">
        <v>5.3066000000000004</v>
      </c>
      <c r="G141" s="7">
        <v>33.124000000000002</v>
      </c>
      <c r="H141" s="7">
        <v>1.6508</v>
      </c>
      <c r="I141" s="4">
        <f t="shared" si="121"/>
        <v>2.7555111887530157</v>
      </c>
      <c r="J141" s="4">
        <f t="shared" si="122"/>
        <v>63.790638600000008</v>
      </c>
      <c r="K141" s="4">
        <f t="shared" si="123"/>
        <v>54.681099200000006</v>
      </c>
      <c r="L141" s="4">
        <f t="shared" si="126"/>
        <v>9.1095394000000027</v>
      </c>
      <c r="M141" s="4">
        <f t="shared" si="127"/>
        <v>0.85719629713818224</v>
      </c>
      <c r="N141" s="6">
        <v>20</v>
      </c>
    </row>
    <row r="142" spans="2:14" x14ac:dyDescent="0.25">
      <c r="B142" s="7">
        <f>1/3</f>
        <v>0.33333333333333331</v>
      </c>
      <c r="C142" s="4">
        <f t="shared" si="120"/>
        <v>2.9999999999999996</v>
      </c>
      <c r="D142" s="4" t="str">
        <f t="shared" si="125"/>
        <v>12_0,33</v>
      </c>
      <c r="E142" s="7">
        <v>12.002000000000001</v>
      </c>
      <c r="F142" s="7">
        <v>5.9825999999999997</v>
      </c>
      <c r="G142" s="7">
        <v>32.792999999999999</v>
      </c>
      <c r="H142" s="7">
        <v>1.8661000000000001</v>
      </c>
      <c r="I142" s="4">
        <f t="shared" si="121"/>
        <v>2.7322946175637393</v>
      </c>
      <c r="J142" s="4">
        <f t="shared" si="122"/>
        <v>71.803165199999995</v>
      </c>
      <c r="K142" s="4">
        <f t="shared" si="123"/>
        <v>61.195017300000004</v>
      </c>
      <c r="L142" s="4">
        <f t="shared" si="126"/>
        <v>10.608147899999992</v>
      </c>
      <c r="M142" s="4">
        <f t="shared" si="127"/>
        <v>0.85226072039509493</v>
      </c>
      <c r="N142" s="6">
        <v>17.5</v>
      </c>
    </row>
    <row r="144" spans="2:14" x14ac:dyDescent="0.25">
      <c r="B144" s="7">
        <f>1/3</f>
        <v>0.33333333333333331</v>
      </c>
      <c r="C144" s="4">
        <f t="shared" ref="C144:C145" si="128">1/(1-2*B144)</f>
        <v>2.9999999999999996</v>
      </c>
      <c r="D144" s="4" t="str">
        <f>TEXT(ROUND(E144,3),"#")&amp;"_"&amp;TEXT(B144,"0,##")</f>
        <v>24_0,33</v>
      </c>
      <c r="E144" s="7">
        <v>24.008800000000001</v>
      </c>
      <c r="F144" s="7">
        <v>3.4824999999999999</v>
      </c>
      <c r="G144" s="7">
        <v>71.748000000000005</v>
      </c>
      <c r="H144" s="7">
        <v>1.0277400000000001</v>
      </c>
      <c r="I144" s="4">
        <f t="shared" ref="I144:I145" si="129">G144/E144</f>
        <v>2.9884042517743494</v>
      </c>
      <c r="J144" s="4">
        <f t="shared" ref="J144:J145" si="130">F144*E144</f>
        <v>83.610646000000003</v>
      </c>
      <c r="K144" s="4">
        <f t="shared" ref="K144:K145" si="131">H144*G144</f>
        <v>73.738289520000009</v>
      </c>
      <c r="L144" s="4">
        <f>J144-K144</f>
        <v>9.8723564799999934</v>
      </c>
      <c r="M144" s="4">
        <f>K144/J144</f>
        <v>0.88192464772966839</v>
      </c>
      <c r="N144" s="6">
        <v>70</v>
      </c>
    </row>
    <row r="145" spans="2:14" x14ac:dyDescent="0.25">
      <c r="B145" s="7">
        <f>1/3</f>
        <v>0.33333333333333331</v>
      </c>
      <c r="C145" s="4">
        <f t="shared" si="128"/>
        <v>2.9999999999999996</v>
      </c>
      <c r="D145" s="4" t="str">
        <f t="shared" ref="D145" si="132">TEXT(ROUND(E145,3),"#")&amp;"_"&amp;TEXT(B145,"0,##")</f>
        <v>24_0,33</v>
      </c>
      <c r="E145" s="7">
        <v>24.036200000000001</v>
      </c>
      <c r="F145" s="7">
        <v>4.7640000000000002</v>
      </c>
      <c r="G145" s="7">
        <v>71.25</v>
      </c>
      <c r="H145" s="7">
        <v>1.4293</v>
      </c>
      <c r="I145" s="4">
        <f t="shared" si="129"/>
        <v>2.9642788793569697</v>
      </c>
      <c r="J145" s="4">
        <f t="shared" si="130"/>
        <v>114.5084568</v>
      </c>
      <c r="K145" s="4">
        <f t="shared" si="131"/>
        <v>101.837625</v>
      </c>
      <c r="L145" s="4">
        <f t="shared" ref="L145" si="133">J145-K145</f>
        <v>12.670831800000002</v>
      </c>
      <c r="M145" s="4">
        <f t="shared" ref="M145" si="134">K145/J145</f>
        <v>0.88934588628566691</v>
      </c>
      <c r="N145" s="6">
        <v>50</v>
      </c>
    </row>
    <row r="146" spans="2:14" x14ac:dyDescent="0.25">
      <c r="B146" s="7"/>
      <c r="C146" s="4"/>
      <c r="D146" s="4"/>
      <c r="E146" s="7"/>
      <c r="F146" s="7"/>
      <c r="G146" s="7"/>
      <c r="H146" s="7"/>
      <c r="I146" s="4"/>
      <c r="J146" s="4"/>
      <c r="K146" s="4"/>
      <c r="L146" s="4"/>
      <c r="M146" s="4"/>
    </row>
    <row r="147" spans="2:14" x14ac:dyDescent="0.25">
      <c r="B147" s="7">
        <f>3/8</f>
        <v>0.375</v>
      </c>
      <c r="C147" s="4">
        <f>1/(1-2*B147)</f>
        <v>4</v>
      </c>
      <c r="D147" s="4" t="str">
        <f t="shared" ref="D147:D150" si="135">TEXT(ROUND(E147,3),"#,#")&amp;"_"&amp;TEXT(B147,"0,###")</f>
        <v>3,3_0,375</v>
      </c>
      <c r="E147" s="7">
        <v>3.3001999999999998</v>
      </c>
      <c r="F147" s="7">
        <v>0.69628999999999996</v>
      </c>
      <c r="G147" s="7">
        <v>11.566000000000001</v>
      </c>
      <c r="H147" s="7">
        <v>0.14426700000000001</v>
      </c>
      <c r="I147" s="4">
        <f>G147/E147</f>
        <v>3.5046360826616572</v>
      </c>
      <c r="J147" s="4">
        <f>F147*E147</f>
        <v>2.2978962579999997</v>
      </c>
      <c r="K147" s="4">
        <f>H147*G147</f>
        <v>1.6685921220000002</v>
      </c>
      <c r="L147" s="4">
        <f>J147-K147</f>
        <v>0.62930413599999957</v>
      </c>
      <c r="M147" s="4">
        <f>K147/J147</f>
        <v>0.7261390135394008</v>
      </c>
      <c r="N147" s="6">
        <v>80</v>
      </c>
    </row>
    <row r="148" spans="2:14" x14ac:dyDescent="0.25">
      <c r="B148" s="7">
        <f t="shared" ref="B148:B168" si="136">3/8</f>
        <v>0.375</v>
      </c>
      <c r="C148" s="4">
        <f>1/(1-2*B148)</f>
        <v>4</v>
      </c>
      <c r="D148" s="4" t="str">
        <f t="shared" si="135"/>
        <v>3,3_0,375</v>
      </c>
      <c r="E148" s="7">
        <v>3.3010000000000002</v>
      </c>
      <c r="F148" s="7">
        <v>1.2585999999999999</v>
      </c>
      <c r="G148" s="7">
        <v>11.087</v>
      </c>
      <c r="H148" s="7">
        <v>0.27624500000000002</v>
      </c>
      <c r="I148" s="4">
        <f>G148/E148</f>
        <v>3.3586791881248104</v>
      </c>
      <c r="J148" s="4">
        <f>F148*E148</f>
        <v>4.1546386000000002</v>
      </c>
      <c r="K148" s="4">
        <f>H148*G148</f>
        <v>3.0627283150000002</v>
      </c>
      <c r="L148" s="4">
        <f t="shared" ref="L148:L150" si="137">J148-K148</f>
        <v>1.091910285</v>
      </c>
      <c r="M148" s="4">
        <f t="shared" ref="M148:M150" si="138">K148/J148</f>
        <v>0.73718284786551591</v>
      </c>
      <c r="N148" s="6">
        <v>40</v>
      </c>
    </row>
    <row r="149" spans="2:14" x14ac:dyDescent="0.25">
      <c r="B149" s="7">
        <f t="shared" si="136"/>
        <v>0.375</v>
      </c>
      <c r="C149" s="4">
        <f>1/(1-2*B149)</f>
        <v>4</v>
      </c>
      <c r="D149" s="4" t="str">
        <f t="shared" si="135"/>
        <v>3,3_0,375</v>
      </c>
      <c r="E149" s="7">
        <v>3.3020999999999998</v>
      </c>
      <c r="F149" s="7">
        <v>2.2890999999999999</v>
      </c>
      <c r="G149" s="7">
        <v>10.394</v>
      </c>
      <c r="H149" s="7">
        <v>0.51824999999999999</v>
      </c>
      <c r="I149" s="4">
        <f>G149/E149</f>
        <v>3.1476938917658464</v>
      </c>
      <c r="J149" s="4">
        <f>F149*E149</f>
        <v>7.5588371099999989</v>
      </c>
      <c r="K149" s="4">
        <f>H149*G149</f>
        <v>5.3866905000000003</v>
      </c>
      <c r="L149" s="4">
        <f t="shared" si="137"/>
        <v>2.1721466099999986</v>
      </c>
      <c r="M149" s="4">
        <f t="shared" si="138"/>
        <v>0.71263481691828667</v>
      </c>
      <c r="N149" s="6">
        <v>20</v>
      </c>
    </row>
    <row r="150" spans="2:14" x14ac:dyDescent="0.25">
      <c r="B150" s="7">
        <f t="shared" si="136"/>
        <v>0.375</v>
      </c>
      <c r="C150" s="4">
        <f>1/(1-2*B150)</f>
        <v>4</v>
      </c>
      <c r="D150" s="4" t="str">
        <f t="shared" si="135"/>
        <v>3,3_0,375</v>
      </c>
      <c r="E150" s="7">
        <v>3.3003</v>
      </c>
      <c r="F150" s="7">
        <v>4.0576999999999996</v>
      </c>
      <c r="G150" s="7">
        <v>9.4120000000000008</v>
      </c>
      <c r="H150" s="7">
        <v>0.93318000000000001</v>
      </c>
      <c r="I150" s="4">
        <f>G150/E150</f>
        <v>2.8518619519437629</v>
      </c>
      <c r="J150" s="4">
        <f>F150*E150</f>
        <v>13.391627309999999</v>
      </c>
      <c r="K150" s="4">
        <f>H150*G150</f>
        <v>8.7830901600000004</v>
      </c>
      <c r="L150" s="4">
        <f t="shared" si="137"/>
        <v>4.6085371499999983</v>
      </c>
      <c r="M150" s="4">
        <f t="shared" si="138"/>
        <v>0.65586429167136084</v>
      </c>
      <c r="N150" s="6">
        <v>10</v>
      </c>
    </row>
    <row r="151" spans="2:14" x14ac:dyDescent="0.25">
      <c r="B151" s="7">
        <f t="shared" si="136"/>
        <v>0.375</v>
      </c>
      <c r="C151" s="4">
        <f>1/(1-2*B151)</f>
        <v>4</v>
      </c>
      <c r="D151" s="4" t="str">
        <f>TEXT(ROUND(E151,3),"#,#")&amp;"_"&amp;TEXT(B151,"0,###")</f>
        <v>3,3_0,375</v>
      </c>
      <c r="E151" s="6">
        <v>3.306</v>
      </c>
      <c r="F151" s="7">
        <v>6.1609999999999996</v>
      </c>
      <c r="G151" s="7">
        <v>8.7050000000000001</v>
      </c>
      <c r="H151" s="7">
        <v>1.4259999999999999</v>
      </c>
      <c r="I151" s="4">
        <f>G151/E151</f>
        <v>2.6330913490623109</v>
      </c>
      <c r="J151" s="4">
        <f>F151*E151</f>
        <v>20.368265999999998</v>
      </c>
      <c r="K151" s="4">
        <f>H151*G151</f>
        <v>12.41333</v>
      </c>
      <c r="L151" s="4">
        <f t="shared" ref="L151" si="139">J151-K151</f>
        <v>7.9549359999999982</v>
      </c>
      <c r="M151" s="4">
        <f>K151/J151</f>
        <v>0.60944461349827228</v>
      </c>
      <c r="N151" s="6">
        <v>6</v>
      </c>
    </row>
    <row r="153" spans="2:14" x14ac:dyDescent="0.25">
      <c r="B153" s="7">
        <f t="shared" si="136"/>
        <v>0.375</v>
      </c>
      <c r="C153" s="4">
        <f>1/(1-2*B153)</f>
        <v>4</v>
      </c>
      <c r="D153" s="4" t="str">
        <f>TEXT(ROUND(E153,3),"#")&amp;"_"&amp;TEXT(B153,"0,###")</f>
        <v>5_0,375</v>
      </c>
      <c r="E153" s="7">
        <v>5.0095999999999998</v>
      </c>
      <c r="F153" s="7">
        <v>1.0170999999999999</v>
      </c>
      <c r="G153" s="7">
        <v>18.856000000000002</v>
      </c>
      <c r="H153" s="7">
        <v>0.20931</v>
      </c>
      <c r="I153" s="4">
        <f>G153/E153</f>
        <v>3.7639731715106999</v>
      </c>
      <c r="J153" s="4">
        <f>F153*E153</f>
        <v>5.0952641599999993</v>
      </c>
      <c r="K153" s="4">
        <f>H153*G153</f>
        <v>3.9467493600000001</v>
      </c>
      <c r="L153" s="4">
        <f>J153-K153</f>
        <v>1.1485147999999992</v>
      </c>
      <c r="M153" s="4">
        <f>K153/J153</f>
        <v>0.77459170635031427</v>
      </c>
      <c r="N153" s="6">
        <v>90</v>
      </c>
    </row>
    <row r="154" spans="2:14" x14ac:dyDescent="0.25">
      <c r="B154" s="7">
        <f t="shared" si="136"/>
        <v>0.375</v>
      </c>
      <c r="C154" s="4">
        <f>1/(1-2*B154)</f>
        <v>4</v>
      </c>
      <c r="D154" s="4" t="str">
        <f t="shared" ref="D154:D156" si="140">TEXT(ROUND(E154,3),"#")&amp;"_"&amp;TEXT(B154,"0,###")</f>
        <v>5_0,375</v>
      </c>
      <c r="E154" s="7">
        <v>5.0010000000000003</v>
      </c>
      <c r="F154" s="7">
        <v>1.8489</v>
      </c>
      <c r="G154" s="7">
        <v>18.131799999999998</v>
      </c>
      <c r="H154" s="7">
        <v>0.40292</v>
      </c>
      <c r="I154" s="4">
        <f>G154/E154</f>
        <v>3.6256348730253944</v>
      </c>
      <c r="J154" s="4">
        <f>F154*E154</f>
        <v>9.246348900000001</v>
      </c>
      <c r="K154" s="4">
        <f>H154*G154</f>
        <v>7.305664855999999</v>
      </c>
      <c r="L154" s="4">
        <f t="shared" ref="L154:L156" si="141">J154-K154</f>
        <v>1.9406840440000019</v>
      </c>
      <c r="M154" s="4">
        <f t="shared" ref="M154:M156" si="142">K154/J154</f>
        <v>0.79011347451965586</v>
      </c>
      <c r="N154" s="6">
        <v>45</v>
      </c>
    </row>
    <row r="155" spans="2:14" x14ac:dyDescent="0.25">
      <c r="B155" s="7">
        <f t="shared" si="136"/>
        <v>0.375</v>
      </c>
      <c r="C155" s="4">
        <f>1/(1-2*B155)</f>
        <v>4</v>
      </c>
      <c r="D155" s="4" t="str">
        <f t="shared" si="140"/>
        <v>5_0,375</v>
      </c>
      <c r="E155" s="7">
        <v>5.0000999999999998</v>
      </c>
      <c r="F155" s="7">
        <v>3.3849499999999999</v>
      </c>
      <c r="G155" s="7">
        <v>17.164999999999999</v>
      </c>
      <c r="H155" s="7">
        <v>0.75998100000000002</v>
      </c>
      <c r="I155" s="4">
        <f>G155/E155</f>
        <v>3.4329313413731724</v>
      </c>
      <c r="J155" s="4">
        <f>F155*E155</f>
        <v>16.925088494999997</v>
      </c>
      <c r="K155" s="4">
        <f>H155*G155</f>
        <v>13.045073864999999</v>
      </c>
      <c r="L155" s="4">
        <f t="shared" si="141"/>
        <v>3.880014629999998</v>
      </c>
      <c r="M155" s="4">
        <f t="shared" si="142"/>
        <v>0.77075365773442006</v>
      </c>
      <c r="N155" s="6">
        <v>22.5</v>
      </c>
    </row>
    <row r="156" spans="2:14" x14ac:dyDescent="0.25">
      <c r="B156" s="7">
        <f t="shared" si="136"/>
        <v>0.375</v>
      </c>
      <c r="C156" s="4">
        <f>1/(1-2*B156)</f>
        <v>4</v>
      </c>
      <c r="D156" s="4" t="str">
        <f t="shared" si="140"/>
        <v>5_0,375</v>
      </c>
      <c r="E156" s="7">
        <v>5.0053999999999998</v>
      </c>
      <c r="F156" s="7">
        <v>6.1779999999999999</v>
      </c>
      <c r="G156" s="7">
        <v>15.954000000000001</v>
      </c>
      <c r="H156" s="7">
        <v>1.40808</v>
      </c>
      <c r="I156" s="4">
        <f>G156/E156</f>
        <v>3.1873576537339674</v>
      </c>
      <c r="J156" s="4">
        <f>F156*E156</f>
        <v>30.923361199999999</v>
      </c>
      <c r="K156" s="4">
        <f>H156*G156</f>
        <v>22.46450832</v>
      </c>
      <c r="L156" s="4">
        <f t="shared" si="141"/>
        <v>8.4588528799999985</v>
      </c>
      <c r="M156" s="4">
        <f t="shared" si="142"/>
        <v>0.72645752105369454</v>
      </c>
      <c r="N156" s="6">
        <v>11.25</v>
      </c>
    </row>
    <row r="158" spans="2:14" x14ac:dyDescent="0.25">
      <c r="B158" s="7">
        <f t="shared" si="136"/>
        <v>0.375</v>
      </c>
      <c r="C158" s="4">
        <f>1/(1-2*B158)</f>
        <v>4</v>
      </c>
      <c r="D158" s="4" t="str">
        <f>TEXT(ROUND(E158,3),"#")&amp;"_"&amp;TEXT(B158,"0,###")</f>
        <v>9_0,375</v>
      </c>
      <c r="E158" s="7">
        <v>9.0030999999999999</v>
      </c>
      <c r="F158" s="7">
        <v>1.92</v>
      </c>
      <c r="G158" s="7">
        <v>35.661999999999999</v>
      </c>
      <c r="H158" s="7">
        <v>0.39612999999999998</v>
      </c>
      <c r="I158" s="4">
        <f>G158/E158</f>
        <v>3.9610800724195001</v>
      </c>
      <c r="J158" s="4">
        <f>F158*E158</f>
        <v>17.285951999999998</v>
      </c>
      <c r="K158" s="4">
        <f>H158*G158</f>
        <v>14.126788059999999</v>
      </c>
      <c r="L158" s="4">
        <f>J158-K158</f>
        <v>3.1591639399999991</v>
      </c>
      <c r="M158" s="4">
        <f>K158/J158</f>
        <v>0.81724096306642535</v>
      </c>
      <c r="N158" s="6">
        <v>90</v>
      </c>
    </row>
    <row r="159" spans="2:14" x14ac:dyDescent="0.25">
      <c r="B159" s="7">
        <f t="shared" si="136"/>
        <v>0.375</v>
      </c>
      <c r="C159" s="4">
        <f>1/(1-2*B159)</f>
        <v>4</v>
      </c>
      <c r="D159" s="4" t="str">
        <f>TEXT(ROUND(E159,3),"#")&amp;"_"&amp;TEXT(B159,"0,###")</f>
        <v>9_0,375</v>
      </c>
      <c r="E159" s="7">
        <v>9.0000999999999998</v>
      </c>
      <c r="F159" s="7">
        <v>3.548</v>
      </c>
      <c r="G159" s="7">
        <v>34.588000000000001</v>
      </c>
      <c r="H159" s="7">
        <v>0.76781999999999995</v>
      </c>
      <c r="I159" s="4">
        <f>G159/E159</f>
        <v>3.8430684103509964</v>
      </c>
      <c r="J159" s="4">
        <f t="shared" ref="J159:J160" si="143">F159*E159</f>
        <v>31.932354799999999</v>
      </c>
      <c r="K159" s="4">
        <f t="shared" ref="K159:K160" si="144">H159*G159</f>
        <v>26.55735816</v>
      </c>
      <c r="L159" s="4">
        <f t="shared" ref="L159:L160" si="145">J159-K159</f>
        <v>5.3749966399999991</v>
      </c>
      <c r="M159" s="4">
        <f t="shared" ref="M159:M160" si="146">K159/J159</f>
        <v>0.83167553180262177</v>
      </c>
      <c r="N159" s="6">
        <v>45</v>
      </c>
    </row>
    <row r="160" spans="2:14" x14ac:dyDescent="0.25">
      <c r="B160" s="7">
        <f t="shared" si="136"/>
        <v>0.375</v>
      </c>
      <c r="C160" s="4">
        <f>1/(1-2*B160)</f>
        <v>4</v>
      </c>
      <c r="D160" s="4" t="str">
        <f t="shared" ref="D160:D168" si="147">TEXT(ROUND(E160,3),"#")&amp;"_"&amp;TEXT(B160,"0,###")</f>
        <v>9_0,375</v>
      </c>
      <c r="E160" s="6">
        <v>9.0002999999999993</v>
      </c>
      <c r="F160" s="7">
        <v>6.0019999999999998</v>
      </c>
      <c r="G160" s="7">
        <v>33.305</v>
      </c>
      <c r="H160" s="7">
        <v>1.32999</v>
      </c>
      <c r="I160" s="4">
        <f t="shared" ref="I160" si="148">G160/E160</f>
        <v>3.7004322078152954</v>
      </c>
      <c r="J160" s="4">
        <f t="shared" si="143"/>
        <v>54.019800599999996</v>
      </c>
      <c r="K160" s="4">
        <f t="shared" si="144"/>
        <v>44.29531695</v>
      </c>
      <c r="L160" s="4">
        <f t="shared" si="145"/>
        <v>9.7244836499999963</v>
      </c>
      <c r="M160" s="4">
        <f t="shared" si="146"/>
        <v>0.8199829776861487</v>
      </c>
      <c r="N160" s="6">
        <v>25</v>
      </c>
    </row>
    <row r="161" spans="2:14" x14ac:dyDescent="0.25">
      <c r="B161" s="7"/>
      <c r="C161" s="4"/>
      <c r="D161" s="4"/>
      <c r="E161" s="7"/>
      <c r="F161" s="7"/>
      <c r="G161" s="7"/>
      <c r="H161" s="7"/>
      <c r="I161" s="4"/>
      <c r="J161" s="4"/>
      <c r="K161" s="4"/>
      <c r="L161" s="4"/>
      <c r="M161" s="4"/>
    </row>
    <row r="162" spans="2:14" x14ac:dyDescent="0.25">
      <c r="B162" s="7">
        <f t="shared" si="136"/>
        <v>0.375</v>
      </c>
      <c r="C162" s="4">
        <f t="shared" ref="C162:C165" si="149">1/(1-2*B162)</f>
        <v>4</v>
      </c>
      <c r="D162" s="4" t="str">
        <f t="shared" si="147"/>
        <v>12_0,375</v>
      </c>
      <c r="E162" s="7">
        <v>12.005000000000001</v>
      </c>
      <c r="F162" s="7">
        <v>2.6124999999999998</v>
      </c>
      <c r="G162" s="7">
        <v>48.436</v>
      </c>
      <c r="H162" s="7">
        <v>0.53829000000000005</v>
      </c>
      <c r="I162" s="4">
        <f t="shared" ref="I162:I165" si="150">G162/E162</f>
        <v>4.034652228238234</v>
      </c>
      <c r="J162" s="4">
        <f t="shared" ref="J162:J165" si="151">F162*E162</f>
        <v>31.363062500000002</v>
      </c>
      <c r="K162" s="4">
        <f t="shared" ref="K162:K165" si="152">H162*G162</f>
        <v>26.072614440000002</v>
      </c>
      <c r="L162" s="4">
        <f>J162-K162</f>
        <v>5.2904480599999992</v>
      </c>
      <c r="M162" s="4">
        <f>K162/J162</f>
        <v>0.83131596093334315</v>
      </c>
      <c r="N162" s="6">
        <v>90</v>
      </c>
    </row>
    <row r="163" spans="2:14" x14ac:dyDescent="0.25">
      <c r="B163" s="7">
        <f t="shared" si="136"/>
        <v>0.375</v>
      </c>
      <c r="C163" s="4">
        <f t="shared" si="149"/>
        <v>4</v>
      </c>
      <c r="D163" s="4" t="str">
        <f t="shared" si="147"/>
        <v>12_0,375</v>
      </c>
      <c r="E163" s="7">
        <v>12.008100000000001</v>
      </c>
      <c r="F163" s="7">
        <v>3.3693</v>
      </c>
      <c r="G163" s="7">
        <v>47.92</v>
      </c>
      <c r="H163" s="7">
        <v>0.70972000000000002</v>
      </c>
      <c r="I163" s="4">
        <f t="shared" si="150"/>
        <v>3.9906396515685243</v>
      </c>
      <c r="J163" s="4">
        <f t="shared" si="151"/>
        <v>40.45889133</v>
      </c>
      <c r="K163" s="4">
        <f t="shared" si="152"/>
        <v>34.009782399999999</v>
      </c>
      <c r="L163" s="4">
        <f t="shared" ref="L163:L165" si="153">J163-K163</f>
        <v>6.4491089300000013</v>
      </c>
      <c r="M163" s="4">
        <f t="shared" ref="M163:M165" si="154">K163/J163</f>
        <v>0.840600947826318</v>
      </c>
      <c r="N163" s="6">
        <v>67.5</v>
      </c>
    </row>
    <row r="164" spans="2:14" x14ac:dyDescent="0.25">
      <c r="B164" s="7">
        <f t="shared" si="136"/>
        <v>0.375</v>
      </c>
      <c r="C164" s="4">
        <f t="shared" si="149"/>
        <v>4</v>
      </c>
      <c r="D164" s="4" t="str">
        <f t="shared" si="147"/>
        <v>12_0,375</v>
      </c>
      <c r="E164" s="7">
        <v>12.006</v>
      </c>
      <c r="F164" s="7">
        <v>4.851</v>
      </c>
      <c r="G164" s="7">
        <v>47.131</v>
      </c>
      <c r="H164" s="7">
        <v>1.04484</v>
      </c>
      <c r="I164" s="4">
        <f t="shared" si="150"/>
        <v>3.9256205230717973</v>
      </c>
      <c r="J164" s="4">
        <f t="shared" si="151"/>
        <v>58.241106000000002</v>
      </c>
      <c r="K164" s="4">
        <f t="shared" si="152"/>
        <v>49.244354039999997</v>
      </c>
      <c r="L164" s="4">
        <f t="shared" si="153"/>
        <v>8.9967519600000045</v>
      </c>
      <c r="M164" s="4">
        <f t="shared" si="154"/>
        <v>0.84552573641029405</v>
      </c>
      <c r="N164" s="6">
        <v>45</v>
      </c>
    </row>
    <row r="165" spans="2:14" x14ac:dyDescent="0.25">
      <c r="B165" s="7">
        <f t="shared" si="136"/>
        <v>0.375</v>
      </c>
      <c r="C165" s="4">
        <f t="shared" si="149"/>
        <v>4</v>
      </c>
      <c r="D165" s="4" t="str">
        <f t="shared" si="147"/>
        <v>12_0,375</v>
      </c>
      <c r="E165" s="7">
        <v>12.0032</v>
      </c>
      <c r="F165" s="7">
        <v>6.1188000000000002</v>
      </c>
      <c r="G165" s="7">
        <v>46.582000000000001</v>
      </c>
      <c r="H165" s="7">
        <v>1.3309599999999999</v>
      </c>
      <c r="I165" s="4">
        <f t="shared" si="150"/>
        <v>3.8807984537456681</v>
      </c>
      <c r="J165" s="4">
        <f t="shared" si="151"/>
        <v>73.445180160000007</v>
      </c>
      <c r="K165" s="4">
        <f t="shared" si="152"/>
        <v>61.998778719999997</v>
      </c>
      <c r="L165" s="4">
        <f t="shared" si="153"/>
        <v>11.44640144000001</v>
      </c>
      <c r="M165" s="4">
        <f t="shared" si="154"/>
        <v>0.84415040694210197</v>
      </c>
      <c r="N165" s="6">
        <v>35</v>
      </c>
    </row>
    <row r="167" spans="2:14" x14ac:dyDescent="0.25">
      <c r="B167" s="7">
        <f t="shared" si="136"/>
        <v>0.375</v>
      </c>
      <c r="C167" s="4">
        <f t="shared" ref="C167" si="155">1/(1-2*B167)</f>
        <v>4</v>
      </c>
      <c r="D167" s="4" t="str">
        <f t="shared" si="147"/>
        <v>24_0,375</v>
      </c>
      <c r="E167" s="7">
        <v>24.002400000000002</v>
      </c>
      <c r="F167" s="7">
        <v>5.4669999999999996</v>
      </c>
      <c r="G167" s="8">
        <v>100.26</v>
      </c>
      <c r="H167" s="7">
        <v>1.1144799999999999</v>
      </c>
      <c r="I167" s="4">
        <f t="shared" ref="I167" si="156">G167/E167</f>
        <v>4.177082291770823</v>
      </c>
      <c r="J167" s="4">
        <f t="shared" ref="J167" si="157">F167*E167</f>
        <v>131.22112079999999</v>
      </c>
      <c r="K167" s="4">
        <f t="shared" ref="K167" si="158">H167*G167</f>
        <v>111.73776479999999</v>
      </c>
      <c r="L167" s="4">
        <f>J167-K167</f>
        <v>19.483356000000001</v>
      </c>
      <c r="M167" s="4">
        <f>K167/J167</f>
        <v>0.85152271310275229</v>
      </c>
      <c r="N167" s="6">
        <v>90</v>
      </c>
    </row>
    <row r="168" spans="2:14" x14ac:dyDescent="0.25">
      <c r="B168" s="7">
        <f t="shared" si="136"/>
        <v>0.375</v>
      </c>
      <c r="C168" s="4">
        <f t="shared" ref="C168" si="159">1/(1-2*B168)</f>
        <v>4</v>
      </c>
      <c r="D168" s="4" t="str">
        <f t="shared" si="147"/>
        <v>24_0,375</v>
      </c>
      <c r="E168" s="7">
        <v>24.034099999999999</v>
      </c>
      <c r="F168" s="7">
        <v>6.0629999999999997</v>
      </c>
      <c r="G168" s="7">
        <v>99.89</v>
      </c>
      <c r="H168" s="7">
        <v>1.2492000000000001</v>
      </c>
      <c r="I168" s="4">
        <f t="shared" ref="I168" si="160">G168/E168</f>
        <v>4.1561780969539113</v>
      </c>
      <c r="J168" s="4">
        <f t="shared" ref="J168" si="161">F168*E168</f>
        <v>145.71874829999999</v>
      </c>
      <c r="K168" s="4">
        <f t="shared" ref="K168" si="162">H168*G168</f>
        <v>124.782588</v>
      </c>
      <c r="L168" s="4">
        <f>J168-K168</f>
        <v>20.936160299999983</v>
      </c>
      <c r="M168" s="4">
        <f>K168/J168</f>
        <v>0.85632486866482382</v>
      </c>
      <c r="N168" s="6">
        <v>80</v>
      </c>
    </row>
    <row r="170" spans="2:14" x14ac:dyDescent="0.25">
      <c r="B170" s="7">
        <v>0.4</v>
      </c>
      <c r="C170" s="4">
        <f>1/(1-2*B170)</f>
        <v>5.0000000000000009</v>
      </c>
      <c r="D170" s="4" t="str">
        <f>TEXT(ROUND(E170,3),"#,#")&amp;"_"&amp;TEXT(B170,"0,##")</f>
        <v>3,3_0,4</v>
      </c>
      <c r="E170" s="7">
        <v>3.3001</v>
      </c>
      <c r="F170" s="7">
        <v>0.87250000000000005</v>
      </c>
      <c r="G170" s="7">
        <v>14.984999999999999</v>
      </c>
      <c r="H170" s="7">
        <v>0.13586999999999999</v>
      </c>
      <c r="I170" s="4">
        <f>G170/E170</f>
        <v>4.5407714917729765</v>
      </c>
      <c r="J170" s="4">
        <f>F170*E170</f>
        <v>2.8793372500000003</v>
      </c>
      <c r="K170" s="4">
        <f>H170*G170</f>
        <v>2.0360119499999998</v>
      </c>
      <c r="L170" s="4">
        <f>J170-K170</f>
        <v>0.8433253000000005</v>
      </c>
      <c r="M170" s="4">
        <f>K170/J170</f>
        <v>0.70711131528618243</v>
      </c>
      <c r="N170" s="6">
        <v>110</v>
      </c>
    </row>
    <row r="171" spans="2:14" x14ac:dyDescent="0.25">
      <c r="B171" s="7">
        <v>0.4</v>
      </c>
      <c r="C171" s="4">
        <f>1/(1-2*B171)</f>
        <v>5.0000000000000009</v>
      </c>
      <c r="D171" s="4" t="str">
        <f t="shared" ref="D171:D173" si="163">TEXT(ROUND(E171,3),"#,#")&amp;"_"&amp;TEXT(B171,"0,##")</f>
        <v>3,3_0,4</v>
      </c>
      <c r="E171" s="7">
        <v>3.3012000000000001</v>
      </c>
      <c r="F171" s="7">
        <v>1.5382</v>
      </c>
      <c r="G171" s="7">
        <v>14.237</v>
      </c>
      <c r="H171" s="7">
        <v>0.25846000000000002</v>
      </c>
      <c r="I171" s="4">
        <f>G171/E171</f>
        <v>4.3126741790863923</v>
      </c>
      <c r="J171" s="4">
        <f>F171*E171</f>
        <v>5.0779058400000006</v>
      </c>
      <c r="K171" s="4">
        <f>H171*G171</f>
        <v>3.6796950200000005</v>
      </c>
      <c r="L171" s="4">
        <f t="shared" ref="L171:L174" si="164">J171-K171</f>
        <v>1.3982108200000001</v>
      </c>
      <c r="M171" s="4">
        <f t="shared" ref="M171:M173" si="165">K171/J171</f>
        <v>0.72464813959606622</v>
      </c>
      <c r="N171" s="6">
        <v>55</v>
      </c>
    </row>
    <row r="172" spans="2:14" x14ac:dyDescent="0.25">
      <c r="B172" s="7">
        <v>0.4</v>
      </c>
      <c r="C172" s="4">
        <f>1/(1-2*B172)</f>
        <v>5.0000000000000009</v>
      </c>
      <c r="D172" s="4" t="str">
        <f t="shared" si="163"/>
        <v>3,3_0,4</v>
      </c>
      <c r="E172" s="7">
        <v>3.302</v>
      </c>
      <c r="F172" s="7">
        <v>2.7449599999999998</v>
      </c>
      <c r="G172" s="7">
        <v>13.2554</v>
      </c>
      <c r="H172" s="7">
        <v>0.47991</v>
      </c>
      <c r="I172" s="4">
        <f>G172/E172</f>
        <v>4.0143549364021807</v>
      </c>
      <c r="J172" s="4">
        <f>F172*E172</f>
        <v>9.0638579200000002</v>
      </c>
      <c r="K172" s="4">
        <f>H172*G172</f>
        <v>6.3613990139999999</v>
      </c>
      <c r="L172" s="4">
        <f t="shared" si="164"/>
        <v>2.7024589060000004</v>
      </c>
      <c r="M172" s="4">
        <f t="shared" si="165"/>
        <v>0.70184231374182882</v>
      </c>
      <c r="N172" s="6">
        <v>27.5</v>
      </c>
    </row>
    <row r="173" spans="2:14" x14ac:dyDescent="0.25">
      <c r="B173" s="7">
        <v>0.4</v>
      </c>
      <c r="C173" s="4">
        <f>1/(1-2*B173)</f>
        <v>5.0000000000000009</v>
      </c>
      <c r="D173" s="4" t="str">
        <f t="shared" si="163"/>
        <v>3,3_0,4</v>
      </c>
      <c r="E173" s="7">
        <v>3.3050999999999999</v>
      </c>
      <c r="F173" s="7">
        <v>4.8339999999999996</v>
      </c>
      <c r="G173" s="7">
        <v>11.927</v>
      </c>
      <c r="H173" s="7">
        <v>0.86331000000000002</v>
      </c>
      <c r="I173" s="4">
        <f>G173/E173</f>
        <v>3.608665395903301</v>
      </c>
      <c r="J173" s="4">
        <f>F173*E173</f>
        <v>15.976853399999998</v>
      </c>
      <c r="K173" s="4">
        <f>H173*G173</f>
        <v>10.29669837</v>
      </c>
      <c r="L173" s="4">
        <f t="shared" si="164"/>
        <v>5.6801550299999981</v>
      </c>
      <c r="M173" s="4">
        <f t="shared" si="165"/>
        <v>0.64447598736807599</v>
      </c>
      <c r="N173" s="6">
        <v>13.75</v>
      </c>
    </row>
    <row r="174" spans="2:14" x14ac:dyDescent="0.25">
      <c r="B174" s="7">
        <v>0.4</v>
      </c>
      <c r="C174" s="4">
        <f>1/(1-2*B174)</f>
        <v>5.0000000000000009</v>
      </c>
      <c r="D174" s="4" t="str">
        <f>TEXT(ROUND(E174,3),"#,#")&amp;"_"&amp;TEXT(B174,"0,##")</f>
        <v>3,3_0,4</v>
      </c>
      <c r="E174" s="6">
        <v>3.3029999999999999</v>
      </c>
      <c r="F174" s="7">
        <v>6.0949999999999998</v>
      </c>
      <c r="G174" s="7">
        <v>11.351000000000001</v>
      </c>
      <c r="H174" s="7">
        <v>1.09412</v>
      </c>
      <c r="I174" s="4">
        <f>G174/E174</f>
        <v>3.4365728125946111</v>
      </c>
      <c r="J174" s="4">
        <f>F174*E174</f>
        <v>20.131784999999997</v>
      </c>
      <c r="K174" s="4">
        <f>H174*G174</f>
        <v>12.419356120000002</v>
      </c>
      <c r="L174" s="4">
        <f t="shared" si="164"/>
        <v>7.7124288799999956</v>
      </c>
      <c r="M174" s="4">
        <f>K174/J174</f>
        <v>0.61690287870648342</v>
      </c>
      <c r="N174" s="6">
        <v>10.3</v>
      </c>
    </row>
    <row r="176" spans="2:14" x14ac:dyDescent="0.25">
      <c r="B176" s="7">
        <v>0.4</v>
      </c>
      <c r="C176" s="4">
        <f>1/(1-2*B176)</f>
        <v>5.0000000000000009</v>
      </c>
      <c r="D176" s="4" t="str">
        <f>TEXT(ROUND(E176,3),"#")&amp;"_"&amp;TEXT(B176,"0,###")</f>
        <v>5_0,4</v>
      </c>
      <c r="E176" s="7">
        <v>5.0090000000000003</v>
      </c>
      <c r="F176" s="7">
        <v>1.33405</v>
      </c>
      <c r="G176" s="7">
        <v>23.937000000000001</v>
      </c>
      <c r="H176" s="7">
        <v>0.20852000000000001</v>
      </c>
      <c r="I176" s="4">
        <f>G176/E176</f>
        <v>4.7787981633060488</v>
      </c>
      <c r="J176" s="4">
        <f>F176*E176</f>
        <v>6.6822564500000006</v>
      </c>
      <c r="K176" s="4">
        <f>H176*G176</f>
        <v>4.9913432400000008</v>
      </c>
      <c r="L176" s="4">
        <f>J176-K176</f>
        <v>1.6909132099999997</v>
      </c>
      <c r="M176" s="4">
        <f>K176/J176</f>
        <v>0.74695475657777255</v>
      </c>
      <c r="N176" s="6">
        <v>115</v>
      </c>
    </row>
    <row r="177" spans="2:14" x14ac:dyDescent="0.25">
      <c r="B177" s="7">
        <v>0.4</v>
      </c>
      <c r="C177" s="4">
        <f>1/(1-2*B177)</f>
        <v>5.0000000000000009</v>
      </c>
      <c r="D177" s="4" t="str">
        <f t="shared" ref="D177:D179" si="166">TEXT(ROUND(E177,3),"#")&amp;"_"&amp;TEXT(B177,"0,###")</f>
        <v>5_0,4</v>
      </c>
      <c r="E177" s="7">
        <v>5.0027999999999997</v>
      </c>
      <c r="F177" s="7">
        <v>2.3822999999999999</v>
      </c>
      <c r="G177" s="7">
        <v>22.917999999999999</v>
      </c>
      <c r="H177" s="7">
        <v>0.39844000000000002</v>
      </c>
      <c r="I177" s="4">
        <f>G177/E177</f>
        <v>4.5810346206124573</v>
      </c>
      <c r="J177" s="4">
        <f>F177*E177</f>
        <v>11.918170439999999</v>
      </c>
      <c r="K177" s="4">
        <f>H177*G177</f>
        <v>9.1314479199999994</v>
      </c>
      <c r="L177" s="4">
        <f t="shared" ref="L177:L179" si="167">J177-K177</f>
        <v>2.7867225199999996</v>
      </c>
      <c r="M177" s="4">
        <f t="shared" ref="M177:M179" si="168">K177/J177</f>
        <v>0.76617866525493317</v>
      </c>
      <c r="N177" s="6">
        <v>57.5</v>
      </c>
    </row>
    <row r="178" spans="2:14" x14ac:dyDescent="0.25">
      <c r="B178" s="7">
        <v>0.4</v>
      </c>
      <c r="C178" s="4">
        <f>1/(1-2*B178)</f>
        <v>5.0000000000000009</v>
      </c>
      <c r="D178" s="4" t="str">
        <f t="shared" si="166"/>
        <v>5_0,4</v>
      </c>
      <c r="E178" s="7">
        <v>5.0031999999999996</v>
      </c>
      <c r="F178" s="7">
        <v>4.3120000000000003</v>
      </c>
      <c r="G178" s="7">
        <v>21.532</v>
      </c>
      <c r="H178" s="7">
        <v>0.74805299999999997</v>
      </c>
      <c r="I178" s="4">
        <f>G178/E178</f>
        <v>4.3036456667732654</v>
      </c>
      <c r="J178" s="4">
        <f>F178*E178</f>
        <v>21.573798400000001</v>
      </c>
      <c r="K178" s="4">
        <f>H178*G178</f>
        <v>16.107077195999999</v>
      </c>
      <c r="L178" s="4">
        <f t="shared" si="167"/>
        <v>5.4667212040000024</v>
      </c>
      <c r="M178" s="4">
        <f t="shared" si="168"/>
        <v>0.746603676244606</v>
      </c>
      <c r="N178" s="6">
        <v>28.75</v>
      </c>
    </row>
    <row r="179" spans="2:14" x14ac:dyDescent="0.25">
      <c r="B179" s="7">
        <v>0.4</v>
      </c>
      <c r="C179" s="4">
        <f>1/(1-2*B179)</f>
        <v>5.0000000000000009</v>
      </c>
      <c r="D179" s="4" t="str">
        <f t="shared" si="166"/>
        <v>5_0,4</v>
      </c>
      <c r="E179" s="7">
        <v>5.0255999999999998</v>
      </c>
      <c r="F179" s="7">
        <v>6.1840000000000002</v>
      </c>
      <c r="G179" s="7">
        <v>20.6999</v>
      </c>
      <c r="H179" s="7">
        <v>1.08622</v>
      </c>
      <c r="I179" s="4">
        <f>G179/E179</f>
        <v>4.1188912766634829</v>
      </c>
      <c r="J179" s="4">
        <f>F179*E179</f>
        <v>31.078310399999999</v>
      </c>
      <c r="K179" s="4">
        <f>H179*G179</f>
        <v>22.484645378</v>
      </c>
      <c r="L179" s="4">
        <f t="shared" si="167"/>
        <v>8.5936650219999997</v>
      </c>
      <c r="M179" s="4">
        <f t="shared" si="168"/>
        <v>0.7234835191684037</v>
      </c>
      <c r="N179" s="6">
        <v>19</v>
      </c>
    </row>
    <row r="181" spans="2:14" x14ac:dyDescent="0.25">
      <c r="B181" s="7">
        <v>0.4</v>
      </c>
      <c r="C181" s="4">
        <f>1/(1-2*B181)</f>
        <v>5.0000000000000009</v>
      </c>
      <c r="D181" s="4" t="str">
        <f>TEXT(ROUND(E181,3),"#")&amp;"_"&amp;TEXT(B181,"0,###")</f>
        <v>9_0,4</v>
      </c>
      <c r="E181" s="7">
        <v>9.0048999999999992</v>
      </c>
      <c r="F181" s="7">
        <v>2.4641000000000002</v>
      </c>
      <c r="G181" s="7">
        <v>45.701000000000001</v>
      </c>
      <c r="H181" s="7">
        <v>0.38124999999999998</v>
      </c>
      <c r="I181" s="4">
        <f>G181/E181</f>
        <v>5.0751257648613537</v>
      </c>
      <c r="J181" s="4">
        <f>F181*E181</f>
        <v>22.188974089999999</v>
      </c>
      <c r="K181" s="4">
        <f>H181*G181</f>
        <v>17.423506249999999</v>
      </c>
      <c r="L181" s="4">
        <f>J181-K181</f>
        <v>4.7654678399999995</v>
      </c>
      <c r="M181" s="4">
        <f>K181/J181</f>
        <v>0.78523261955821233</v>
      </c>
      <c r="N181" s="6">
        <v>120</v>
      </c>
    </row>
    <row r="182" spans="2:14" x14ac:dyDescent="0.25">
      <c r="B182" s="7">
        <v>0.4</v>
      </c>
      <c r="C182" s="4">
        <f>1/(1-2*B182)</f>
        <v>5.0000000000000009</v>
      </c>
      <c r="D182" s="4" t="str">
        <f>TEXT(ROUND(E182,3),"#")&amp;"_"&amp;TEXT(B182,"0,###")</f>
        <v>9_0,4</v>
      </c>
      <c r="E182" s="7">
        <v>9.0060000000000002</v>
      </c>
      <c r="F182" s="7">
        <v>4.4443999999999999</v>
      </c>
      <c r="G182" s="7">
        <v>44.066000000000003</v>
      </c>
      <c r="H182" s="7">
        <v>0.73211000000000004</v>
      </c>
      <c r="I182" s="4">
        <f>G182/E182</f>
        <v>4.8929602487230737</v>
      </c>
      <c r="J182" s="4">
        <f t="shared" ref="J182:J183" si="169">F182*E182</f>
        <v>40.026266399999997</v>
      </c>
      <c r="K182" s="4">
        <f t="shared" ref="K182:K183" si="170">H182*G182</f>
        <v>32.261159260000007</v>
      </c>
      <c r="L182" s="4">
        <f t="shared" ref="L182:L183" si="171">J182-K182</f>
        <v>7.7651071399999907</v>
      </c>
      <c r="M182" s="4">
        <f t="shared" ref="M182:M183" si="172">K182/J182</f>
        <v>0.80599971372798362</v>
      </c>
      <c r="N182" s="6">
        <v>60</v>
      </c>
    </row>
    <row r="183" spans="2:14" x14ac:dyDescent="0.25">
      <c r="B183" s="7">
        <v>0.4</v>
      </c>
      <c r="C183" s="4">
        <f>1/(1-2*B183)</f>
        <v>5.0000000000000009</v>
      </c>
      <c r="D183" s="4" t="str">
        <f t="shared" ref="D183" si="173">TEXT(ROUND(E183,3),"#")&amp;"_"&amp;TEXT(B183,"0,###")</f>
        <v>9_0,4</v>
      </c>
      <c r="E183" s="6">
        <v>9.0058000000000007</v>
      </c>
      <c r="F183" s="7">
        <v>6.1</v>
      </c>
      <c r="G183" s="7">
        <v>43.131999999999998</v>
      </c>
      <c r="H183" s="7">
        <v>1.0239799999999999</v>
      </c>
      <c r="I183" s="4">
        <f t="shared" ref="I183" si="174">G183/E183</f>
        <v>4.789357969308667</v>
      </c>
      <c r="J183" s="4">
        <f t="shared" si="169"/>
        <v>54.935380000000002</v>
      </c>
      <c r="K183" s="4">
        <f t="shared" si="170"/>
        <v>44.166305359999996</v>
      </c>
      <c r="L183" s="4">
        <f t="shared" si="171"/>
        <v>10.769074640000007</v>
      </c>
      <c r="M183" s="4">
        <f t="shared" si="172"/>
        <v>0.80396832351027692</v>
      </c>
      <c r="N183" s="6">
        <v>42</v>
      </c>
    </row>
    <row r="184" spans="2:14" x14ac:dyDescent="0.25">
      <c r="B184" s="7"/>
    </row>
    <row r="185" spans="2:14" x14ac:dyDescent="0.25">
      <c r="B185" s="7">
        <v>0.4</v>
      </c>
      <c r="C185" s="4">
        <f t="shared" ref="C185:C188" si="175">1/(1-2*B185)</f>
        <v>5.0000000000000009</v>
      </c>
      <c r="D185" s="4" t="str">
        <f>TEXT(ROUND(E185,3),"#")&amp;"_"&amp;TEXT(B185,"0,##")</f>
        <v>12_0,4</v>
      </c>
      <c r="E185" s="7">
        <v>12.016999999999999</v>
      </c>
      <c r="F185" s="7">
        <v>3.3201000000000001</v>
      </c>
      <c r="G185" s="7">
        <v>61.695</v>
      </c>
      <c r="H185" s="7">
        <v>0.51520999999999995</v>
      </c>
      <c r="I185" s="4">
        <f>G185/E185</f>
        <v>5.1339768661063498</v>
      </c>
      <c r="J185" s="4">
        <f t="shared" ref="J185" si="176">F185*E185</f>
        <v>39.897641700000001</v>
      </c>
      <c r="K185" s="4">
        <f t="shared" ref="K185" si="177">H185*G185</f>
        <v>31.785880949999996</v>
      </c>
      <c r="L185" s="4">
        <f>J185-K185</f>
        <v>8.1117607500000055</v>
      </c>
      <c r="M185" s="4">
        <f>K185/J185</f>
        <v>0.79668570861921384</v>
      </c>
      <c r="N185" s="6">
        <v>120</v>
      </c>
    </row>
    <row r="186" spans="2:14" x14ac:dyDescent="0.25">
      <c r="B186" s="7">
        <v>0.4</v>
      </c>
      <c r="C186" s="4">
        <f t="shared" si="175"/>
        <v>5.0000000000000009</v>
      </c>
      <c r="D186" s="4" t="str">
        <f t="shared" ref="D186:D188" si="178">TEXT(ROUND(E186,3),"#")&amp;"_"&amp;TEXT(B186,"0,##")</f>
        <v>12_0,4</v>
      </c>
      <c r="E186" s="7">
        <v>12.007</v>
      </c>
      <c r="F186" s="7">
        <v>4.2469999999999999</v>
      </c>
      <c r="G186" s="7">
        <v>60.994</v>
      </c>
      <c r="H186" s="7">
        <v>0.67706999999999995</v>
      </c>
      <c r="I186" s="4">
        <f t="shared" ref="I186:I188" si="179">G186/E186</f>
        <v>5.0798700757891231</v>
      </c>
      <c r="J186" s="4">
        <f t="shared" ref="J186:J188" si="180">F186*E186</f>
        <v>50.993728999999995</v>
      </c>
      <c r="K186" s="4">
        <f t="shared" ref="K186:K188" si="181">H186*G186</f>
        <v>41.297207579999998</v>
      </c>
      <c r="L186" s="4">
        <f t="shared" ref="L186:L188" si="182">J186-K186</f>
        <v>9.6965214199999963</v>
      </c>
      <c r="M186" s="4">
        <f t="shared" ref="M186:M188" si="183">K186/J186</f>
        <v>0.80984874787250805</v>
      </c>
      <c r="N186" s="6">
        <v>90</v>
      </c>
    </row>
    <row r="187" spans="2:14" x14ac:dyDescent="0.25">
      <c r="B187" s="7">
        <v>0.4</v>
      </c>
      <c r="C187" s="4">
        <f t="shared" si="175"/>
        <v>5.0000000000000009</v>
      </c>
      <c r="D187" s="4" t="str">
        <f t="shared" si="178"/>
        <v>12_0,4</v>
      </c>
      <c r="E187" s="7">
        <v>12.009</v>
      </c>
      <c r="F187" s="7">
        <v>5.2949999999999999</v>
      </c>
      <c r="G187" s="7">
        <v>60.344999999999999</v>
      </c>
      <c r="H187" s="7">
        <v>0.86070000000000002</v>
      </c>
      <c r="I187" s="4">
        <f t="shared" si="179"/>
        <v>5.0249812640519611</v>
      </c>
      <c r="J187" s="4">
        <f t="shared" si="180"/>
        <v>63.587654999999998</v>
      </c>
      <c r="K187" s="4">
        <f t="shared" si="181"/>
        <v>51.938941499999999</v>
      </c>
      <c r="L187" s="4">
        <f t="shared" si="182"/>
        <v>11.648713499999999</v>
      </c>
      <c r="M187" s="4">
        <f t="shared" si="183"/>
        <v>0.81680856921048595</v>
      </c>
      <c r="N187" s="6">
        <v>70</v>
      </c>
    </row>
    <row r="188" spans="2:14" x14ac:dyDescent="0.25">
      <c r="B188" s="7">
        <v>0.4</v>
      </c>
      <c r="C188" s="4">
        <f t="shared" si="175"/>
        <v>5.0000000000000009</v>
      </c>
      <c r="D188" s="4" t="str">
        <f t="shared" si="178"/>
        <v>12_0,4</v>
      </c>
      <c r="E188" s="7">
        <v>12.000999999999999</v>
      </c>
      <c r="F188" s="7">
        <v>6.0997000000000003</v>
      </c>
      <c r="G188" s="7">
        <v>59.96</v>
      </c>
      <c r="H188" s="7">
        <v>0.99941999999999998</v>
      </c>
      <c r="I188" s="4">
        <f t="shared" si="179"/>
        <v>4.9962503124739612</v>
      </c>
      <c r="J188" s="4">
        <f t="shared" si="180"/>
        <v>73.202499700000004</v>
      </c>
      <c r="K188" s="4">
        <f t="shared" si="181"/>
        <v>59.925223199999998</v>
      </c>
      <c r="L188" s="4">
        <f t="shared" si="182"/>
        <v>13.277276500000006</v>
      </c>
      <c r="M188" s="4">
        <f t="shared" si="183"/>
        <v>0.81862263509561539</v>
      </c>
      <c r="N188" s="6">
        <v>60</v>
      </c>
    </row>
    <row r="190" spans="2:14" x14ac:dyDescent="0.25">
      <c r="B190" s="7">
        <f>3/7</f>
        <v>0.42857142857142855</v>
      </c>
      <c r="C190" s="4">
        <f>1/(1-2*B190)</f>
        <v>6.9999999999999973</v>
      </c>
      <c r="D190" s="4" t="str">
        <f>TEXT(ROUND(E190,3),"#,#")&amp;"_"&amp;TEXT(B190,"0,###")</f>
        <v>3,3_0,429</v>
      </c>
      <c r="E190" s="7">
        <v>3.3065000000000002</v>
      </c>
      <c r="F190" s="7">
        <v>1.2382</v>
      </c>
      <c r="G190" s="7">
        <v>21.835000000000001</v>
      </c>
      <c r="H190" s="7">
        <v>0.12116</v>
      </c>
      <c r="I190" s="4">
        <f>G190/E190</f>
        <v>6.6036594586420687</v>
      </c>
      <c r="J190" s="4">
        <f>F190*E190</f>
        <v>4.0941083000000003</v>
      </c>
      <c r="K190" s="4">
        <f>H190*G190</f>
        <v>2.6455286</v>
      </c>
      <c r="L190" s="4">
        <f>J190-K190</f>
        <v>1.4485797000000002</v>
      </c>
      <c r="M190" s="4">
        <f>K190/J190</f>
        <v>0.64617943790104426</v>
      </c>
      <c r="N190" s="6">
        <v>180</v>
      </c>
    </row>
    <row r="191" spans="2:14" x14ac:dyDescent="0.25">
      <c r="B191" s="7">
        <f t="shared" ref="B191:B204" si="184">3/7</f>
        <v>0.42857142857142855</v>
      </c>
      <c r="C191" s="4">
        <f>1/(1-2*B191)</f>
        <v>6.9999999999999973</v>
      </c>
      <c r="D191" s="4" t="str">
        <f t="shared" ref="D191:D193" si="185">TEXT(ROUND(E191,3),"#,#")&amp;"_"&amp;TEXT(B191,"0,###")</f>
        <v>3,3_0,429</v>
      </c>
      <c r="E191" s="7">
        <v>3.3012000000000001</v>
      </c>
      <c r="F191" s="7">
        <v>2.1002999999999998</v>
      </c>
      <c r="G191" s="7">
        <v>20.581</v>
      </c>
      <c r="H191" s="7">
        <v>0.22828000000000001</v>
      </c>
      <c r="I191" s="4">
        <f>G191/E191</f>
        <v>6.234399612262207</v>
      </c>
      <c r="J191" s="4">
        <f>F191*E191</f>
        <v>6.9335103599999997</v>
      </c>
      <c r="K191" s="4">
        <f>H191*G191</f>
        <v>4.69823068</v>
      </c>
      <c r="L191" s="4">
        <f t="shared" ref="L191:L193" si="186">J191-K191</f>
        <v>2.2352796799999997</v>
      </c>
      <c r="M191" s="4">
        <f t="shared" ref="M191:M193" si="187">K191/J191</f>
        <v>0.67761212373814061</v>
      </c>
      <c r="N191" s="6">
        <v>90</v>
      </c>
    </row>
    <row r="192" spans="2:14" x14ac:dyDescent="0.25">
      <c r="B192" s="7">
        <f t="shared" si="184"/>
        <v>0.42857142857142855</v>
      </c>
      <c r="C192" s="4">
        <f>1/(1-2*B192)</f>
        <v>6.9999999999999973</v>
      </c>
      <c r="D192" s="4" t="str">
        <f t="shared" si="185"/>
        <v>3,3_0,429</v>
      </c>
      <c r="E192" s="7">
        <v>3.3086000000000002</v>
      </c>
      <c r="F192" s="7">
        <v>3.641</v>
      </c>
      <c r="G192" s="7">
        <v>18.934000000000001</v>
      </c>
      <c r="H192" s="7">
        <v>0.41966999999999999</v>
      </c>
      <c r="I192" s="4">
        <f>G192/E192</f>
        <v>5.7226621531765698</v>
      </c>
      <c r="J192" s="4">
        <f>F192*E192</f>
        <v>12.046612600000001</v>
      </c>
      <c r="K192" s="4">
        <f>H192*G192</f>
        <v>7.9460317800000002</v>
      </c>
      <c r="L192" s="4">
        <f t="shared" si="186"/>
        <v>4.1005808200000011</v>
      </c>
      <c r="M192" s="4">
        <f t="shared" si="187"/>
        <v>0.65960714798780862</v>
      </c>
      <c r="N192" s="6">
        <v>45</v>
      </c>
    </row>
    <row r="193" spans="2:14" x14ac:dyDescent="0.25">
      <c r="B193" s="7">
        <f t="shared" si="184"/>
        <v>0.42857142857142855</v>
      </c>
      <c r="C193" s="4">
        <f>1/(1-2*B193)</f>
        <v>6.9999999999999973</v>
      </c>
      <c r="D193" s="4" t="str">
        <f t="shared" si="185"/>
        <v>3,3_0,429</v>
      </c>
      <c r="E193" s="7">
        <v>3.3</v>
      </c>
      <c r="F193" s="7">
        <v>6.0650000000000004</v>
      </c>
      <c r="G193" s="7">
        <v>16.95</v>
      </c>
      <c r="H193" s="7">
        <v>0.72018000000000004</v>
      </c>
      <c r="I193" s="4">
        <f>G193/E193</f>
        <v>5.1363636363636367</v>
      </c>
      <c r="J193" s="4">
        <f>F193*E193</f>
        <v>20.014500000000002</v>
      </c>
      <c r="K193" s="4">
        <f>H193*G193</f>
        <v>12.207051</v>
      </c>
      <c r="L193" s="4">
        <f t="shared" si="186"/>
        <v>7.8074490000000019</v>
      </c>
      <c r="M193" s="4">
        <f t="shared" si="187"/>
        <v>0.60991036498538553</v>
      </c>
      <c r="N193" s="6">
        <v>23.5</v>
      </c>
    </row>
    <row r="194" spans="2:14" x14ac:dyDescent="0.25">
      <c r="B194" s="7"/>
      <c r="C194" s="4"/>
      <c r="D194" s="4"/>
      <c r="F194" s="7"/>
      <c r="G194" s="7"/>
      <c r="H194" s="7"/>
      <c r="I194" s="4"/>
      <c r="J194" s="4"/>
      <c r="K194" s="4"/>
      <c r="L194" s="4"/>
      <c r="M194" s="4"/>
    </row>
    <row r="195" spans="2:14" x14ac:dyDescent="0.25">
      <c r="B195" s="7">
        <f>3/7</f>
        <v>0.42857142857142855</v>
      </c>
      <c r="C195" s="4">
        <f>1/(1-2*B195)</f>
        <v>6.9999999999999973</v>
      </c>
      <c r="D195" s="4" t="str">
        <f>TEXT(ROUND(E195,3),"#")&amp;"_"&amp;TEXT(B195,"0,###")</f>
        <v>5_0,429</v>
      </c>
      <c r="E195" s="7">
        <v>5.0046999999999997</v>
      </c>
      <c r="F195" s="7">
        <v>1.9756</v>
      </c>
      <c r="G195" s="7">
        <v>34.988999999999997</v>
      </c>
      <c r="H195" s="7">
        <v>0.19359000000000001</v>
      </c>
      <c r="I195" s="4">
        <f>G195/E195</f>
        <v>6.9912282454492773</v>
      </c>
      <c r="J195" s="4">
        <f>F195*E195</f>
        <v>9.8872853200000002</v>
      </c>
      <c r="K195" s="4">
        <f>H195*G195</f>
        <v>6.77352051</v>
      </c>
      <c r="L195" s="4">
        <f>J195-K195</f>
        <v>3.1137648100000002</v>
      </c>
      <c r="M195" s="4">
        <f>K195/J195</f>
        <v>0.68507383885226036</v>
      </c>
      <c r="N195" s="6">
        <v>180</v>
      </c>
    </row>
    <row r="196" spans="2:14" x14ac:dyDescent="0.25">
      <c r="B196" s="7">
        <f t="shared" si="184"/>
        <v>0.42857142857142855</v>
      </c>
      <c r="C196" s="4">
        <f>1/(1-2*B196)</f>
        <v>6.9999999999999973</v>
      </c>
      <c r="D196" s="4" t="str">
        <f>TEXT(ROUND(E196,3),"#")&amp;"_"&amp;TEXT(B196,"0,###")</f>
        <v>5_0,429</v>
      </c>
      <c r="E196" s="7">
        <v>5.0025000000000004</v>
      </c>
      <c r="F196" s="7">
        <v>3.4129999999999998</v>
      </c>
      <c r="G196" s="7">
        <v>33.137999999999998</v>
      </c>
      <c r="H196" s="7">
        <v>0.36793999999999999</v>
      </c>
      <c r="I196" s="4">
        <f>G196/E196</f>
        <v>6.6242878560719634</v>
      </c>
      <c r="J196" s="4">
        <f>F196*E196</f>
        <v>17.073532499999999</v>
      </c>
      <c r="K196" s="4">
        <f>H196*G196</f>
        <v>12.192795719999999</v>
      </c>
      <c r="L196" s="4">
        <f>J196-K196</f>
        <v>4.8807367799999994</v>
      </c>
      <c r="M196" s="4">
        <f>K196/J196</f>
        <v>0.71413433160360928</v>
      </c>
      <c r="N196" s="6">
        <v>90</v>
      </c>
    </row>
    <row r="197" spans="2:14" x14ac:dyDescent="0.25">
      <c r="B197" s="7">
        <f t="shared" si="184"/>
        <v>0.42857142857142855</v>
      </c>
      <c r="C197" s="4">
        <f>1/(1-2*B197)</f>
        <v>6.9999999999999973</v>
      </c>
      <c r="D197" s="4" t="str">
        <f>TEXT(ROUND(E197,3),"#")&amp;"_"&amp;TEXT(B197,"0,###")</f>
        <v>5_0,429</v>
      </c>
      <c r="E197" s="7">
        <v>5.0039999999999996</v>
      </c>
      <c r="F197" s="7">
        <v>6.0129999999999999</v>
      </c>
      <c r="G197" s="7">
        <v>30.777000000000001</v>
      </c>
      <c r="H197" s="7">
        <v>0.68306</v>
      </c>
      <c r="I197" s="4">
        <f>G197/E197</f>
        <v>6.1504796163069555</v>
      </c>
      <c r="J197" s="4">
        <f>F197*E197</f>
        <v>30.089051999999995</v>
      </c>
      <c r="K197" s="4">
        <f>H197*G197</f>
        <v>21.022537620000001</v>
      </c>
      <c r="L197" s="4">
        <f>J197-K197</f>
        <v>9.0665143799999939</v>
      </c>
      <c r="M197" s="4">
        <f>K197/J197</f>
        <v>0.69867730030178432</v>
      </c>
      <c r="N197" s="6">
        <v>45</v>
      </c>
    </row>
    <row r="199" spans="2:14" x14ac:dyDescent="0.25">
      <c r="B199" s="7">
        <f>3/7</f>
        <v>0.42857142857142855</v>
      </c>
      <c r="C199" s="4">
        <f>1/(1-2*B199)</f>
        <v>6.9999999999999973</v>
      </c>
      <c r="D199" s="4" t="str">
        <f>TEXT(ROUND(E199,3),"#")&amp;"_"&amp;TEXT(B199,"0,###")</f>
        <v>9_0,429</v>
      </c>
      <c r="E199" s="7">
        <v>9.0092999999999996</v>
      </c>
      <c r="F199" s="7">
        <v>3.6775000000000002</v>
      </c>
      <c r="G199" s="7">
        <v>67.224999999999994</v>
      </c>
      <c r="H199" s="7">
        <v>0.35283999999999999</v>
      </c>
      <c r="I199" s="4">
        <f>G199/E199</f>
        <v>7.461733985992252</v>
      </c>
      <c r="J199" s="4">
        <f>F199*E199</f>
        <v>33.13170075</v>
      </c>
      <c r="K199" s="4">
        <f>H199*G199</f>
        <v>23.719668999999996</v>
      </c>
      <c r="L199" s="4">
        <f>J199-K199</f>
        <v>9.4120317500000041</v>
      </c>
      <c r="M199" s="4">
        <f>K199/J199</f>
        <v>0.7159206579517351</v>
      </c>
      <c r="N199" s="6">
        <v>190</v>
      </c>
    </row>
    <row r="200" spans="2:14" x14ac:dyDescent="0.25">
      <c r="B200" s="7">
        <f t="shared" si="184"/>
        <v>0.42857142857142855</v>
      </c>
      <c r="C200" s="4">
        <f>1/(1-2*B200)</f>
        <v>6.9999999999999973</v>
      </c>
      <c r="D200" s="4" t="str">
        <f>TEXT(ROUND(E200,3),"#")&amp;"_"&amp;TEXT(B200,"0,###")</f>
        <v>9_0,429</v>
      </c>
      <c r="E200" s="7">
        <v>9.0145</v>
      </c>
      <c r="F200" s="7">
        <v>4.9871999999999996</v>
      </c>
      <c r="G200" s="7">
        <v>65.796999999999997</v>
      </c>
      <c r="H200" s="7">
        <v>0.50561</v>
      </c>
      <c r="I200" s="4">
        <f>G200/E200</f>
        <v>7.2990182483776138</v>
      </c>
      <c r="J200" s="4">
        <f t="shared" ref="J200:J201" si="188">F200*E200</f>
        <v>44.957114399999995</v>
      </c>
      <c r="K200" s="4">
        <f t="shared" ref="K200:K201" si="189">H200*G200</f>
        <v>33.267621169999998</v>
      </c>
      <c r="L200" s="4">
        <f t="shared" ref="L200:L201" si="190">J200-K200</f>
        <v>11.689493229999997</v>
      </c>
      <c r="M200" s="4">
        <f t="shared" ref="M200:M201" si="191">K200/J200</f>
        <v>0.73998568667031717</v>
      </c>
      <c r="N200" s="6">
        <v>130</v>
      </c>
    </row>
    <row r="201" spans="2:14" x14ac:dyDescent="0.25">
      <c r="B201" s="7">
        <f t="shared" si="184"/>
        <v>0.42857142857142855</v>
      </c>
      <c r="C201" s="4">
        <f>1/(1-2*B201)</f>
        <v>6.9999999999999973</v>
      </c>
      <c r="D201" s="4" t="str">
        <f t="shared" ref="D201" si="192">TEXT(ROUND(E201,3),"#")&amp;"_"&amp;TEXT(B201,"0,###")</f>
        <v>9_0,429</v>
      </c>
      <c r="E201" s="6">
        <v>9.0009999999999994</v>
      </c>
      <c r="F201" s="7">
        <v>6.1586999999999996</v>
      </c>
      <c r="G201" s="7">
        <v>64.525999999999996</v>
      </c>
      <c r="H201" s="7">
        <v>0.64337</v>
      </c>
      <c r="I201" s="4">
        <f t="shared" ref="I201" si="193">G201/E201</f>
        <v>7.1687590267748025</v>
      </c>
      <c r="J201" s="4">
        <f t="shared" si="188"/>
        <v>55.434458699999993</v>
      </c>
      <c r="K201" s="4">
        <f t="shared" si="189"/>
        <v>41.51409262</v>
      </c>
      <c r="L201" s="4">
        <f t="shared" si="190"/>
        <v>13.920366079999994</v>
      </c>
      <c r="M201" s="4">
        <f t="shared" si="191"/>
        <v>0.74888604657737923</v>
      </c>
      <c r="N201" s="6">
        <v>100</v>
      </c>
    </row>
    <row r="203" spans="2:14" x14ac:dyDescent="0.25">
      <c r="B203" s="7">
        <f>3/7</f>
        <v>0.42857142857142855</v>
      </c>
      <c r="C203" s="4">
        <f t="shared" ref="C203:C204" si="194">1/(1-2*B203)</f>
        <v>6.9999999999999973</v>
      </c>
      <c r="D203" s="4" t="str">
        <f t="shared" ref="D203:D204" si="195">TEXT(ROUND(E203,3),"#")&amp;"_"&amp;TEXT(B203,"0,###")</f>
        <v>12_0,429</v>
      </c>
      <c r="E203" s="7">
        <v>12.026</v>
      </c>
      <c r="F203" s="7">
        <v>5.0510000000000002</v>
      </c>
      <c r="G203" s="7">
        <v>91.5</v>
      </c>
      <c r="H203" s="7">
        <v>0.48105999999999999</v>
      </c>
      <c r="I203" s="4">
        <f>G203/E203</f>
        <v>7.6085148844170964</v>
      </c>
      <c r="J203" s="4">
        <f t="shared" ref="J203:J204" si="196">F203*E203</f>
        <v>60.743326000000003</v>
      </c>
      <c r="K203" s="4">
        <f t="shared" ref="K203:K204" si="197">H203*G203</f>
        <v>44.01699</v>
      </c>
      <c r="L203" s="4">
        <f>J203-K203</f>
        <v>16.726336000000003</v>
      </c>
      <c r="M203" s="4">
        <f>K203/J203</f>
        <v>0.72463911508566381</v>
      </c>
      <c r="N203" s="6">
        <v>190</v>
      </c>
    </row>
    <row r="204" spans="2:14" x14ac:dyDescent="0.25">
      <c r="B204" s="7">
        <f t="shared" si="184"/>
        <v>0.42857142857142855</v>
      </c>
      <c r="C204" s="4">
        <f t="shared" si="194"/>
        <v>6.9999999999999973</v>
      </c>
      <c r="D204" s="4" t="str">
        <f t="shared" si="195"/>
        <v>12_0,429</v>
      </c>
      <c r="E204" s="7">
        <v>12.023999999999999</v>
      </c>
      <c r="F204" s="7">
        <v>6.0155000000000003</v>
      </c>
      <c r="G204" s="7">
        <v>90.57</v>
      </c>
      <c r="H204" s="7">
        <v>0.59167000000000003</v>
      </c>
      <c r="I204" s="4">
        <f t="shared" ref="I204" si="198">G204/E204</f>
        <v>7.5324351297405192</v>
      </c>
      <c r="J204" s="4">
        <f t="shared" si="196"/>
        <v>72.330371999999997</v>
      </c>
      <c r="K204" s="4">
        <f t="shared" si="197"/>
        <v>53.587551900000001</v>
      </c>
      <c r="L204" s="4">
        <f t="shared" ref="L204" si="199">J204-K204</f>
        <v>18.742820099999996</v>
      </c>
      <c r="M204" s="4">
        <f t="shared" ref="M204" si="200">K204/J204</f>
        <v>0.74087206270693595</v>
      </c>
      <c r="N204" s="6">
        <v>153</v>
      </c>
    </row>
    <row r="206" spans="2:14" x14ac:dyDescent="0.25">
      <c r="B206" s="7">
        <v>0.45</v>
      </c>
      <c r="C206" s="4">
        <f>1/(1-2*B206)</f>
        <v>10.000000000000002</v>
      </c>
      <c r="D206" s="4" t="str">
        <f>TEXT(ROUND(E206,3),"#,#")&amp;"_"&amp;TEXT(B206,"0,##")</f>
        <v>3,3_0,45</v>
      </c>
      <c r="E206" s="7">
        <v>3.3065000000000002</v>
      </c>
      <c r="F206" s="7">
        <v>1.8120000000000001</v>
      </c>
      <c r="G206" s="7">
        <v>32.619999999999997</v>
      </c>
      <c r="H206" s="7">
        <v>0.10100000000000001</v>
      </c>
      <c r="I206" s="4">
        <f>G206/E206</f>
        <v>9.8654166036594564</v>
      </c>
      <c r="J206" s="4">
        <f>F206*E206</f>
        <v>5.991378000000001</v>
      </c>
      <c r="K206" s="4">
        <f>H206*G206</f>
        <v>3.2946200000000001</v>
      </c>
      <c r="L206" s="4">
        <f>J206-K206</f>
        <v>2.6967580000000009</v>
      </c>
      <c r="M206" s="4">
        <f>K206/J206</f>
        <v>0.54989353033642674</v>
      </c>
      <c r="N206" s="6">
        <v>320</v>
      </c>
    </row>
    <row r="207" spans="2:14" x14ac:dyDescent="0.25">
      <c r="B207" s="7">
        <v>0.45</v>
      </c>
      <c r="C207" s="4">
        <f>1/(1-2*B207)</f>
        <v>10.000000000000002</v>
      </c>
      <c r="D207" s="4" t="str">
        <f t="shared" ref="D207:D209" si="201">TEXT(ROUND(E207,3),"#,#")&amp;"_"&amp;TEXT(B207,"0,##")</f>
        <v>3,3_0,45</v>
      </c>
      <c r="E207" s="7">
        <v>3.3010000000000002</v>
      </c>
      <c r="F207" s="7">
        <v>2.9180000000000001</v>
      </c>
      <c r="G207" s="7">
        <v>30.358000000000001</v>
      </c>
      <c r="H207" s="7">
        <v>0.18920000000000001</v>
      </c>
      <c r="I207" s="4">
        <f>G207/E207</f>
        <v>9.196607088760981</v>
      </c>
      <c r="J207" s="4">
        <f>F207*E207</f>
        <v>9.6323180000000015</v>
      </c>
      <c r="K207" s="4">
        <f>H207*G207</f>
        <v>5.7437336000000005</v>
      </c>
      <c r="L207" s="4">
        <f t="shared" ref="L207:L209" si="202">J207-K207</f>
        <v>3.8885844000000009</v>
      </c>
      <c r="M207" s="4">
        <f t="shared" ref="M207:M209" si="203">K207/J207</f>
        <v>0.59629817038847754</v>
      </c>
      <c r="N207" s="6">
        <v>160</v>
      </c>
    </row>
    <row r="208" spans="2:14" x14ac:dyDescent="0.25">
      <c r="B208" s="7">
        <v>0.45</v>
      </c>
      <c r="C208" s="4">
        <f>1/(1-2*B208)</f>
        <v>10.000000000000002</v>
      </c>
      <c r="D208" s="4" t="str">
        <f t="shared" si="201"/>
        <v>3,3_0,45</v>
      </c>
      <c r="E208" s="7">
        <v>3.3071999999999999</v>
      </c>
      <c r="F208" s="7">
        <v>4.8022</v>
      </c>
      <c r="G208" s="7">
        <v>27.396999999999998</v>
      </c>
      <c r="H208" s="7">
        <v>0.34237000000000001</v>
      </c>
      <c r="I208" s="4">
        <f>G208/E208</f>
        <v>8.2840469279148525</v>
      </c>
      <c r="J208" s="4">
        <f>F208*E208</f>
        <v>15.881835839999999</v>
      </c>
      <c r="K208" s="4">
        <f>H208*G208</f>
        <v>9.3799108899999997</v>
      </c>
      <c r="L208" s="4">
        <f t="shared" si="202"/>
        <v>6.5019249499999994</v>
      </c>
      <c r="M208" s="4">
        <f t="shared" si="203"/>
        <v>0.59060621105122824</v>
      </c>
      <c r="N208" s="6">
        <v>80</v>
      </c>
    </row>
    <row r="209" spans="2:14" x14ac:dyDescent="0.25">
      <c r="B209" s="7">
        <v>0.45</v>
      </c>
      <c r="C209" s="4">
        <f>1/(1-2*B209)</f>
        <v>10.000000000000002</v>
      </c>
      <c r="D209" s="4" t="str">
        <f t="shared" si="201"/>
        <v>3,3_0,45</v>
      </c>
      <c r="E209" s="7">
        <v>3.302</v>
      </c>
      <c r="F209" s="7">
        <v>5.9989999999999997</v>
      </c>
      <c r="G209" s="7">
        <v>26.254999999999999</v>
      </c>
      <c r="H209" s="7">
        <v>0.43686000000000003</v>
      </c>
      <c r="I209" s="4">
        <f>G209/E209</f>
        <v>7.9512416717141123</v>
      </c>
      <c r="J209" s="4">
        <f>F209*E209</f>
        <v>19.808698</v>
      </c>
      <c r="K209" s="4">
        <f>H209*G209</f>
        <v>11.4697593</v>
      </c>
      <c r="L209" s="4">
        <f t="shared" si="202"/>
        <v>8.3389386999999999</v>
      </c>
      <c r="M209" s="4">
        <f t="shared" si="203"/>
        <v>0.57902641051925774</v>
      </c>
      <c r="N209" s="6">
        <v>60</v>
      </c>
    </row>
    <row r="211" spans="2:14" x14ac:dyDescent="0.25">
      <c r="B211" s="7">
        <v>0.45</v>
      </c>
      <c r="C211" s="4">
        <f>1/(1-2*B211)</f>
        <v>10.000000000000002</v>
      </c>
      <c r="D211" s="4" t="str">
        <f>TEXT(ROUND(E211,3),"#")&amp;"_"&amp;TEXT(B211,"0,###")</f>
        <v>5_0,45</v>
      </c>
      <c r="E211" s="7">
        <v>5.0026000000000002</v>
      </c>
      <c r="F211" s="7">
        <v>2.9249999999999998</v>
      </c>
      <c r="G211" s="7">
        <v>52.853999999999999</v>
      </c>
      <c r="H211" s="7">
        <v>0.15941</v>
      </c>
      <c r="I211" s="4">
        <f>G211/E211</f>
        <v>10.565306040858752</v>
      </c>
      <c r="J211" s="4">
        <f>F211*E211</f>
        <v>14.632605</v>
      </c>
      <c r="K211" s="4">
        <f>H211*G211</f>
        <v>8.4254561399999996</v>
      </c>
      <c r="L211" s="4">
        <f>J211-K211</f>
        <v>6.2071488600000002</v>
      </c>
      <c r="M211" s="4">
        <f>K211/J211</f>
        <v>0.57580014905069876</v>
      </c>
      <c r="N211" s="6">
        <v>330</v>
      </c>
    </row>
    <row r="212" spans="2:14" x14ac:dyDescent="0.25">
      <c r="B212" s="7">
        <v>0.45</v>
      </c>
      <c r="C212" s="4">
        <f>1/(1-2*B212)</f>
        <v>10.000000000000002</v>
      </c>
      <c r="D212" s="4" t="str">
        <f t="shared" ref="D212" si="204">TEXT(ROUND(E212,3),"#")&amp;"_"&amp;TEXT(B212,"0,###")</f>
        <v>5_0,45</v>
      </c>
      <c r="E212" s="7">
        <v>5.0034999999999998</v>
      </c>
      <c r="F212" s="7">
        <v>3.5489999999999999</v>
      </c>
      <c r="G212" s="7">
        <v>51.6</v>
      </c>
      <c r="H212" s="7">
        <v>0.20771999999999999</v>
      </c>
      <c r="I212" s="4">
        <f>G212/E212</f>
        <v>10.312781053262716</v>
      </c>
      <c r="J212" s="4">
        <f>F212*E212</f>
        <v>17.7574215</v>
      </c>
      <c r="K212" s="4">
        <f>H212*G212</f>
        <v>10.718351999999999</v>
      </c>
      <c r="L212" s="4">
        <f t="shared" ref="L212" si="205">J212-K212</f>
        <v>7.0390695000000001</v>
      </c>
      <c r="M212" s="4">
        <f t="shared" ref="M212" si="206">K212/J212</f>
        <v>0.60359844474041457</v>
      </c>
      <c r="N212" s="6">
        <v>247.5</v>
      </c>
    </row>
    <row r="213" spans="2:14" x14ac:dyDescent="0.25">
      <c r="B213" s="7">
        <v>0.45</v>
      </c>
      <c r="C213" s="4">
        <f>1/(1-2*B213)</f>
        <v>10.000000000000002</v>
      </c>
      <c r="D213" s="4" t="str">
        <f t="shared" ref="D213:D214" si="207">TEXT(ROUND(E213,3),"#")&amp;"_"&amp;TEXT(B213,"0,###")</f>
        <v>5_0,45</v>
      </c>
      <c r="E213" s="7">
        <v>5.0041000000000002</v>
      </c>
      <c r="F213" s="7">
        <v>4.7080000000000002</v>
      </c>
      <c r="G213" s="7">
        <v>49.55</v>
      </c>
      <c r="H213" s="7">
        <v>0.29829</v>
      </c>
      <c r="I213" s="4">
        <f>G213/E213</f>
        <v>9.9018804580244186</v>
      </c>
      <c r="J213" s="4">
        <f>F213*E213</f>
        <v>23.559302800000001</v>
      </c>
      <c r="K213" s="4">
        <f>H213*G213</f>
        <v>14.780269499999999</v>
      </c>
      <c r="L213" s="4">
        <f t="shared" ref="L213:L214" si="208">J213-K213</f>
        <v>8.7790333000000018</v>
      </c>
      <c r="M213" s="4">
        <f t="shared" ref="M213:M214" si="209">K213/J213</f>
        <v>0.62736446937640267</v>
      </c>
      <c r="N213" s="6">
        <v>165</v>
      </c>
    </row>
    <row r="214" spans="2:14" x14ac:dyDescent="0.25">
      <c r="B214" s="7">
        <v>0.45</v>
      </c>
      <c r="C214" s="4">
        <f>1/(1-2*B214)</f>
        <v>10.000000000000002</v>
      </c>
      <c r="D214" s="4" t="str">
        <f t="shared" si="207"/>
        <v>5_0,45</v>
      </c>
      <c r="E214" s="7">
        <v>5.016</v>
      </c>
      <c r="F214" s="7">
        <v>6.0395000000000003</v>
      </c>
      <c r="G214" s="7">
        <v>48.174999999999997</v>
      </c>
      <c r="H214" s="7">
        <v>0.39913500000000002</v>
      </c>
      <c r="I214" s="4">
        <f>G214/E214</f>
        <v>9.6042663476873997</v>
      </c>
      <c r="J214" s="4">
        <f>F214*E214</f>
        <v>30.294132000000001</v>
      </c>
      <c r="K214" s="4">
        <f>H214*G214</f>
        <v>19.228328625</v>
      </c>
      <c r="L214" s="4">
        <f t="shared" si="208"/>
        <v>11.065803375000002</v>
      </c>
      <c r="M214" s="4">
        <f t="shared" si="209"/>
        <v>0.6347212267048945</v>
      </c>
      <c r="N214" s="6">
        <v>120</v>
      </c>
    </row>
    <row r="216" spans="2:14" x14ac:dyDescent="0.25">
      <c r="B216" s="7">
        <v>0.45</v>
      </c>
      <c r="C216" s="4">
        <f t="shared" ref="C216:C217" si="210">1/(1-2*B216)</f>
        <v>10.000000000000002</v>
      </c>
      <c r="D216" s="4" t="str">
        <f>TEXT(ROUND(E216,3),"#")&amp;"_"&amp;TEXT(B216,"0,##")</f>
        <v>9_0,45</v>
      </c>
      <c r="E216" s="7">
        <v>9.0061999999999998</v>
      </c>
      <c r="F216" s="7">
        <v>5.5759999999999996</v>
      </c>
      <c r="G216" s="7">
        <v>102.29</v>
      </c>
      <c r="H216" s="7">
        <v>0.28986000000000001</v>
      </c>
      <c r="I216" s="4">
        <f>G216/E216</f>
        <v>11.357731340632011</v>
      </c>
      <c r="J216" s="4">
        <f t="shared" ref="J216:J217" si="211">F216*E216</f>
        <v>50.218571199999992</v>
      </c>
      <c r="K216" s="4">
        <f t="shared" ref="K216:K217" si="212">H216*G216</f>
        <v>29.649779400000003</v>
      </c>
      <c r="L216" s="4">
        <f>J216-K216</f>
        <v>20.568791799999989</v>
      </c>
      <c r="M216" s="4">
        <f>K216/J216</f>
        <v>0.59041463529332761</v>
      </c>
      <c r="N216" s="6">
        <v>350</v>
      </c>
    </row>
    <row r="217" spans="2:14" x14ac:dyDescent="0.25">
      <c r="B217" s="7">
        <v>0.45</v>
      </c>
      <c r="C217" s="4">
        <f t="shared" si="210"/>
        <v>10.000000000000002</v>
      </c>
      <c r="D217" s="4" t="str">
        <f t="shared" ref="D217" si="213">TEXT(ROUND(E217,3),"#")&amp;"_"&amp;TEXT(B217,"0,##")</f>
        <v>9_0,45</v>
      </c>
      <c r="E217" s="7">
        <v>9.0020000000000007</v>
      </c>
      <c r="F217" s="7">
        <v>6.0890000000000004</v>
      </c>
      <c r="G217" s="7">
        <v>101.58</v>
      </c>
      <c r="H217" s="7">
        <v>0.32568000000000003</v>
      </c>
      <c r="I217" s="4">
        <f t="shared" ref="I217" si="214">G217/E217</f>
        <v>11.284159075760941</v>
      </c>
      <c r="J217" s="4">
        <f t="shared" si="211"/>
        <v>54.813178000000008</v>
      </c>
      <c r="K217" s="4">
        <f t="shared" si="212"/>
        <v>33.082574399999999</v>
      </c>
      <c r="L217" s="4">
        <f t="shared" ref="L217" si="215">J217-K217</f>
        <v>21.730603600000009</v>
      </c>
      <c r="M217" s="4">
        <f t="shared" ref="M217" si="216">K217/J217</f>
        <v>0.60355147442828427</v>
      </c>
      <c r="N217" s="6">
        <v>310</v>
      </c>
    </row>
    <row r="224" spans="2:14" x14ac:dyDescent="0.25">
      <c r="B224" s="7"/>
      <c r="C224" s="4"/>
      <c r="D224" s="4"/>
      <c r="E224" s="7"/>
      <c r="F224" s="7"/>
      <c r="G224" s="7"/>
      <c r="H224" s="7"/>
      <c r="I224" s="4"/>
      <c r="J224" s="4"/>
      <c r="K224" s="4"/>
      <c r="L224" s="4"/>
      <c r="M224" s="4"/>
    </row>
  </sheetData>
  <mergeCells count="2">
    <mergeCell ref="E6:H6"/>
    <mergeCell ref="I6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F28F-610F-4C7B-9553-2AD617DFB2BB}">
  <dimension ref="B1:P231"/>
  <sheetViews>
    <sheetView zoomScale="70" zoomScaleNormal="70" workbookViewId="0">
      <pane ySplit="7" topLeftCell="A44" activePane="bottomLeft" state="frozen"/>
      <selection pane="bottomLeft" activeCell="X45" sqref="X45"/>
    </sheetView>
  </sheetViews>
  <sheetFormatPr baseColWidth="10" defaultColWidth="9.140625" defaultRowHeight="15" x14ac:dyDescent="0.25"/>
  <cols>
    <col min="1" max="1" width="3.5703125" customWidth="1"/>
    <col min="2" max="2" width="12" style="6" customWidth="1"/>
    <col min="3" max="3" width="15.7109375" style="13" customWidth="1"/>
    <col min="4" max="4" width="12.140625" style="5" bestFit="1" customWidth="1"/>
    <col min="5" max="5" width="9.7109375" style="6" customWidth="1"/>
    <col min="6" max="7" width="9.140625" style="6"/>
    <col min="8" max="8" width="9.28515625" style="6" bestFit="1" customWidth="1"/>
    <col min="9" max="11" width="9.5703125" style="5" bestFit="1" customWidth="1"/>
    <col min="12" max="12" width="9.28515625" style="5" bestFit="1" customWidth="1"/>
    <col min="13" max="13" width="9.140625" style="5"/>
    <col min="14" max="14" width="11.5703125" style="6" customWidth="1"/>
    <col min="15" max="15" width="28.85546875" style="3" bestFit="1" customWidth="1"/>
  </cols>
  <sheetData>
    <row r="1" spans="2:15" x14ac:dyDescent="0.25">
      <c r="B1" s="1" t="s">
        <v>55</v>
      </c>
      <c r="C1"/>
      <c r="D1"/>
      <c r="E1"/>
      <c r="F1"/>
      <c r="G1"/>
      <c r="H1"/>
      <c r="I1"/>
      <c r="J1"/>
      <c r="K1"/>
      <c r="L1"/>
      <c r="M1"/>
      <c r="N1" s="1"/>
      <c r="O1"/>
    </row>
    <row r="2" spans="2:15" x14ac:dyDescent="0.25">
      <c r="B2"/>
      <c r="C2"/>
      <c r="D2"/>
      <c r="E2"/>
      <c r="F2"/>
      <c r="G2"/>
      <c r="H2"/>
      <c r="I2"/>
      <c r="J2"/>
      <c r="K2"/>
      <c r="L2"/>
      <c r="M2"/>
      <c r="N2" s="1"/>
      <c r="O2"/>
    </row>
    <row r="3" spans="2:15" x14ac:dyDescent="0.25">
      <c r="B3"/>
      <c r="C3"/>
      <c r="D3"/>
      <c r="E3"/>
      <c r="F3"/>
      <c r="G3"/>
      <c r="H3"/>
      <c r="I3"/>
      <c r="J3"/>
      <c r="K3"/>
      <c r="L3"/>
      <c r="M3"/>
      <c r="N3" s="1"/>
      <c r="O3"/>
    </row>
    <row r="4" spans="2:15" x14ac:dyDescent="0.25">
      <c r="B4" s="1" t="s">
        <v>56</v>
      </c>
      <c r="C4"/>
      <c r="D4"/>
      <c r="E4"/>
      <c r="F4"/>
      <c r="G4"/>
      <c r="H4"/>
      <c r="I4"/>
      <c r="J4"/>
      <c r="K4"/>
      <c r="L4"/>
      <c r="M4"/>
      <c r="N4" s="1"/>
      <c r="O4"/>
    </row>
    <row r="5" spans="2:15" x14ac:dyDescent="0.25">
      <c r="B5" s="1" t="s">
        <v>68</v>
      </c>
      <c r="C5"/>
      <c r="D5"/>
      <c r="E5"/>
      <c r="F5"/>
      <c r="G5"/>
      <c r="H5"/>
      <c r="I5"/>
      <c r="J5"/>
      <c r="K5"/>
      <c r="L5"/>
      <c r="M5"/>
      <c r="N5" s="1" t="s">
        <v>48</v>
      </c>
      <c r="O5"/>
    </row>
    <row r="6" spans="2:15" x14ac:dyDescent="0.25">
      <c r="B6" s="6" t="s">
        <v>41</v>
      </c>
      <c r="C6" s="6" t="s">
        <v>57</v>
      </c>
      <c r="D6" s="10" t="s">
        <v>44</v>
      </c>
      <c r="E6" s="18" t="s">
        <v>28</v>
      </c>
      <c r="F6" s="18"/>
      <c r="G6" s="18"/>
      <c r="H6" s="18"/>
      <c r="I6" s="19" t="s">
        <v>29</v>
      </c>
      <c r="J6" s="19"/>
      <c r="K6" s="19"/>
      <c r="L6" s="19"/>
      <c r="M6" s="19"/>
      <c r="N6" s="6" t="s">
        <v>30</v>
      </c>
      <c r="O6" s="3" t="s">
        <v>58</v>
      </c>
    </row>
    <row r="7" spans="2:15" x14ac:dyDescent="0.25">
      <c r="B7" s="6" t="s">
        <v>3</v>
      </c>
      <c r="C7" s="6" t="s">
        <v>59</v>
      </c>
      <c r="D7" s="5" t="s">
        <v>45</v>
      </c>
      <c r="E7" s="6" t="s">
        <v>31</v>
      </c>
      <c r="F7" s="6" t="s">
        <v>32</v>
      </c>
      <c r="G7" s="6" t="s">
        <v>33</v>
      </c>
      <c r="H7" s="6" t="s">
        <v>34</v>
      </c>
      <c r="I7" s="5" t="s">
        <v>1</v>
      </c>
      <c r="J7" s="5" t="s">
        <v>35</v>
      </c>
      <c r="K7" s="5" t="s">
        <v>36</v>
      </c>
      <c r="L7" s="5" t="s">
        <v>37</v>
      </c>
      <c r="M7" s="5" t="s">
        <v>2</v>
      </c>
      <c r="N7" s="6" t="s">
        <v>46</v>
      </c>
    </row>
    <row r="8" spans="2:15" x14ac:dyDescent="0.25">
      <c r="B8" s="6">
        <v>0.3</v>
      </c>
      <c r="C8" s="11" t="s">
        <v>60</v>
      </c>
      <c r="D8" s="4" t="str">
        <f>TEXT(ROUND(E8,3),"#,#")&amp;"_"&amp;TEXT(G8,"0")</f>
        <v>3,3_12</v>
      </c>
      <c r="E8" s="7">
        <v>3.3047</v>
      </c>
      <c r="F8" s="7">
        <v>0.43557000000000001</v>
      </c>
      <c r="G8" s="7">
        <v>12.045</v>
      </c>
      <c r="H8" s="7">
        <v>8.3390000000000006E-2</v>
      </c>
      <c r="I8" s="4">
        <f>G8/E8</f>
        <v>3.6448089085242232</v>
      </c>
      <c r="J8" s="4">
        <f>F8*E8</f>
        <v>1.4394281790000001</v>
      </c>
      <c r="K8" s="4">
        <f>H8*G8</f>
        <v>1.00443255</v>
      </c>
      <c r="L8" s="4">
        <f>J8-K8</f>
        <v>0.43499562900000011</v>
      </c>
      <c r="M8" s="4">
        <f>K8/J8</f>
        <v>0.69779969897337957</v>
      </c>
      <c r="N8" s="6">
        <v>144</v>
      </c>
    </row>
    <row r="9" spans="2:15" x14ac:dyDescent="0.25">
      <c r="B9" s="6">
        <v>0.38300000000000001</v>
      </c>
      <c r="C9" s="11" t="s">
        <v>62</v>
      </c>
      <c r="D9" s="4" t="str">
        <f t="shared" ref="D9" si="0">TEXT(ROUND(E9,3),"#,#")&amp;"_"&amp;TEXT(G9,"0")</f>
        <v>3,3_12</v>
      </c>
      <c r="E9" s="7">
        <v>3.3043999999999998</v>
      </c>
      <c r="F9" s="7">
        <v>1.0506</v>
      </c>
      <c r="G9" s="7">
        <v>12.1</v>
      </c>
      <c r="H9" s="7">
        <v>0.20949000000000001</v>
      </c>
      <c r="I9" s="4">
        <f t="shared" ref="I9" si="1">G9/E9</f>
        <v>3.6617842876165114</v>
      </c>
      <c r="J9" s="4">
        <f t="shared" ref="J9" si="2">F9*E9</f>
        <v>3.4716026399999995</v>
      </c>
      <c r="K9" s="4">
        <f t="shared" ref="K9" si="3">H9*G9</f>
        <v>2.5348290000000002</v>
      </c>
      <c r="L9" s="4">
        <f t="shared" ref="L9" si="4">J9-K9</f>
        <v>0.9367736399999993</v>
      </c>
      <c r="M9" s="4">
        <f t="shared" ref="M9" si="5">K9/J9</f>
        <v>0.73016104170263008</v>
      </c>
      <c r="N9" s="6">
        <v>57.6</v>
      </c>
    </row>
    <row r="10" spans="2:15" x14ac:dyDescent="0.25">
      <c r="B10" s="6">
        <v>0.38850000000000001</v>
      </c>
      <c r="C10" s="11" t="s">
        <v>62</v>
      </c>
      <c r="D10" s="4" t="str">
        <f>TEXT(ROUND(E10,3),"#,#")&amp;"_"&amp;TEXT(G10,"0")</f>
        <v>3,3_12</v>
      </c>
      <c r="E10" s="7">
        <v>3.306</v>
      </c>
      <c r="F10" s="7">
        <v>2.1166100000000001</v>
      </c>
      <c r="G10" s="7">
        <v>12.05</v>
      </c>
      <c r="H10" s="7">
        <v>0.41755999999999999</v>
      </c>
      <c r="I10" s="4">
        <f>G10/E10</f>
        <v>3.6448880822746523</v>
      </c>
      <c r="J10" s="4">
        <f>F10*E10</f>
        <v>6.9975126600000008</v>
      </c>
      <c r="K10" s="4">
        <f>H10*G10</f>
        <v>5.0315979999999998</v>
      </c>
      <c r="L10" s="4">
        <f>J10-K10</f>
        <v>1.965914660000001</v>
      </c>
      <c r="M10" s="4">
        <f>K10/J10</f>
        <v>0.71905521925843852</v>
      </c>
      <c r="N10" s="6">
        <v>28.8</v>
      </c>
    </row>
    <row r="11" spans="2:15" x14ac:dyDescent="0.25">
      <c r="B11" s="6">
        <v>0.39550000000000002</v>
      </c>
      <c r="C11" s="11" t="s">
        <v>62</v>
      </c>
      <c r="D11" s="4" t="str">
        <f t="shared" ref="D11:D13" si="6">TEXT(ROUND(E11,3),"#,#")&amp;"_"&amp;TEXT(G11,"0")</f>
        <v>3,3_12</v>
      </c>
      <c r="E11" s="7">
        <v>3.302</v>
      </c>
      <c r="F11" s="7">
        <v>3.3538000000000001</v>
      </c>
      <c r="G11" s="7">
        <v>12.052</v>
      </c>
      <c r="H11" s="7">
        <v>0.62570000000000003</v>
      </c>
      <c r="I11" s="4">
        <f t="shared" ref="I11:I13" si="7">G11/E11</f>
        <v>3.649909145972138</v>
      </c>
      <c r="J11" s="4">
        <f t="shared" ref="J11:J13" si="8">F11*E11</f>
        <v>11.074247600000001</v>
      </c>
      <c r="K11" s="4">
        <f t="shared" ref="K11:K13" si="9">H11*G11</f>
        <v>7.5409364000000005</v>
      </c>
      <c r="L11" s="4">
        <f t="shared" ref="L11:L13" si="10">J11-K11</f>
        <v>3.5333112000000009</v>
      </c>
      <c r="M11" s="4">
        <f t="shared" ref="M11:M13" si="11">K11/J11</f>
        <v>0.6809434529890771</v>
      </c>
      <c r="N11" s="6">
        <v>19.2</v>
      </c>
    </row>
    <row r="12" spans="2:15" x14ac:dyDescent="0.25">
      <c r="B12" s="6">
        <v>0.40150000000000002</v>
      </c>
      <c r="C12" s="11" t="s">
        <v>62</v>
      </c>
      <c r="D12" s="4" t="str">
        <f t="shared" si="6"/>
        <v>3,3_12</v>
      </c>
      <c r="E12" s="7">
        <v>3.3029999999999999</v>
      </c>
      <c r="F12" s="7">
        <v>4.7110000000000003</v>
      </c>
      <c r="G12" s="7">
        <v>12.023999999999999</v>
      </c>
      <c r="H12" s="7">
        <v>0.83157000000000003</v>
      </c>
      <c r="I12" s="4">
        <f t="shared" si="7"/>
        <v>3.6403269754768393</v>
      </c>
      <c r="J12" s="4">
        <f t="shared" si="8"/>
        <v>15.560433000000002</v>
      </c>
      <c r="K12" s="4">
        <f t="shared" si="9"/>
        <v>9.9987976799999991</v>
      </c>
      <c r="L12" s="4">
        <f t="shared" si="10"/>
        <v>5.5616353200000024</v>
      </c>
      <c r="M12" s="4">
        <f t="shared" si="11"/>
        <v>0.64257837040910093</v>
      </c>
      <c r="N12" s="6">
        <v>14.4</v>
      </c>
    </row>
    <row r="13" spans="2:15" x14ac:dyDescent="0.25">
      <c r="B13" s="6">
        <v>0.40400000000000003</v>
      </c>
      <c r="C13" s="11" t="s">
        <v>62</v>
      </c>
      <c r="D13" s="4" t="str">
        <f t="shared" si="6"/>
        <v>3,3_12</v>
      </c>
      <c r="E13" s="7">
        <v>3.3039999999999998</v>
      </c>
      <c r="F13" s="7">
        <v>5.8230000000000004</v>
      </c>
      <c r="G13" s="7">
        <v>12.048</v>
      </c>
      <c r="H13" s="7">
        <v>0.99770000000000003</v>
      </c>
      <c r="I13" s="4">
        <f t="shared" si="7"/>
        <v>3.6464891041162231</v>
      </c>
      <c r="J13" s="4">
        <f t="shared" si="8"/>
        <v>19.239191999999999</v>
      </c>
      <c r="K13" s="4">
        <f t="shared" si="9"/>
        <v>12.0202896</v>
      </c>
      <c r="L13" s="4">
        <f t="shared" si="10"/>
        <v>7.2189023999999993</v>
      </c>
      <c r="M13" s="4">
        <f t="shared" si="11"/>
        <v>0.62478141493676032</v>
      </c>
      <c r="N13" s="6">
        <v>12</v>
      </c>
    </row>
    <row r="14" spans="2:15" x14ac:dyDescent="0.25">
      <c r="C14" s="11"/>
      <c r="D14" s="4"/>
      <c r="E14" s="7"/>
      <c r="F14" s="7"/>
      <c r="G14" s="7"/>
      <c r="H14" s="7"/>
      <c r="I14" s="4"/>
      <c r="J14" s="4"/>
      <c r="K14" s="4"/>
      <c r="L14" s="4"/>
      <c r="M14" s="4"/>
    </row>
    <row r="15" spans="2:15" x14ac:dyDescent="0.25">
      <c r="B15" s="6">
        <v>0.27300000000000002</v>
      </c>
      <c r="C15" s="11" t="s">
        <v>60</v>
      </c>
      <c r="D15" s="4" t="str">
        <f t="shared" ref="D15:D20" si="12">TEXT(ROUND(E15,3),"#,#")&amp;"_"&amp;TEXT(G15,"0")</f>
        <v>3,3_24</v>
      </c>
      <c r="E15" s="7">
        <v>3.3029999999999999</v>
      </c>
      <c r="F15" s="7">
        <v>0.60160000000000002</v>
      </c>
      <c r="G15" s="7">
        <v>24.085000000000001</v>
      </c>
      <c r="H15" s="7">
        <v>4.8140000000000002E-2</v>
      </c>
      <c r="I15" s="4">
        <f t="shared" ref="I15:I20" si="13">G15/E15</f>
        <v>7.2918558885861344</v>
      </c>
      <c r="J15" s="4">
        <f t="shared" ref="J15:J20" si="14">F15*E15</f>
        <v>1.9870848000000001</v>
      </c>
      <c r="K15" s="4">
        <f t="shared" ref="K15:K20" si="15">H15*G15</f>
        <v>1.1594519000000001</v>
      </c>
      <c r="L15" s="4">
        <f t="shared" ref="L15:L20" si="16">J15-K15</f>
        <v>0.8276329</v>
      </c>
      <c r="M15" s="4">
        <f t="shared" ref="M15:M20" si="17">K15/J15</f>
        <v>0.58349392033998748</v>
      </c>
      <c r="N15" s="6">
        <v>500</v>
      </c>
      <c r="O15" s="12" t="str">
        <f>C15&amp;"_"&amp;TEXT(B15,"0,####")&amp;"_"&amp;TEXT(ROUND(E15,3),"#,#")&amp;"_"&amp;TEXT(G15,"0")&amp;"_"&amp;TEXT(ROUND(K15,1),"0,##")</f>
        <v>dcm_0,273_3,3_24_1,2</v>
      </c>
    </row>
    <row r="16" spans="2:15" x14ac:dyDescent="0.25">
      <c r="B16" s="6">
        <v>0.436</v>
      </c>
      <c r="C16" s="11" t="s">
        <v>62</v>
      </c>
      <c r="D16" s="4" t="str">
        <f t="shared" si="12"/>
        <v>3,3_24</v>
      </c>
      <c r="E16" s="7">
        <v>3.3050000000000002</v>
      </c>
      <c r="F16" s="7">
        <v>1.268</v>
      </c>
      <c r="G16" s="7">
        <v>24.145</v>
      </c>
      <c r="H16" s="7">
        <v>0.1053</v>
      </c>
      <c r="I16" s="4">
        <f t="shared" si="13"/>
        <v>7.3055975794251129</v>
      </c>
      <c r="J16" s="4">
        <f t="shared" si="14"/>
        <v>4.1907399999999999</v>
      </c>
      <c r="K16" s="4">
        <f t="shared" si="15"/>
        <v>2.5424685</v>
      </c>
      <c r="L16" s="4">
        <f t="shared" si="16"/>
        <v>1.6482714999999999</v>
      </c>
      <c r="M16" s="4">
        <f t="shared" si="17"/>
        <v>0.60668724378033478</v>
      </c>
      <c r="N16" s="6">
        <v>230</v>
      </c>
    </row>
    <row r="17" spans="2:15" x14ac:dyDescent="0.25">
      <c r="B17" s="6">
        <v>0.4395</v>
      </c>
      <c r="C17" s="11" t="s">
        <v>62</v>
      </c>
      <c r="D17" s="4" t="str">
        <f t="shared" si="12"/>
        <v>3,3_24</v>
      </c>
      <c r="E17" s="7">
        <v>3.3039999999999998</v>
      </c>
      <c r="F17" s="7">
        <v>2.383</v>
      </c>
      <c r="G17" s="7">
        <v>24.04</v>
      </c>
      <c r="H17" s="7">
        <v>0.20924000000000001</v>
      </c>
      <c r="I17" s="4">
        <f t="shared" si="13"/>
        <v>7.2760290556900724</v>
      </c>
      <c r="J17" s="4">
        <f t="shared" si="14"/>
        <v>7.8734319999999993</v>
      </c>
      <c r="K17" s="4">
        <f t="shared" si="15"/>
        <v>5.0301296000000004</v>
      </c>
      <c r="L17" s="4">
        <f t="shared" si="16"/>
        <v>2.8433023999999989</v>
      </c>
      <c r="M17" s="4">
        <f t="shared" si="17"/>
        <v>0.63887382274972349</v>
      </c>
      <c r="N17" s="6">
        <v>115</v>
      </c>
      <c r="O17" s="12"/>
    </row>
    <row r="18" spans="2:15" x14ac:dyDescent="0.25">
      <c r="B18" s="6">
        <v>0.4425</v>
      </c>
      <c r="C18" s="11" t="s">
        <v>62</v>
      </c>
      <c r="D18" s="4" t="str">
        <f t="shared" si="12"/>
        <v>3,3_24</v>
      </c>
      <c r="E18" s="7">
        <v>3.306</v>
      </c>
      <c r="F18" s="7">
        <v>3.6505999999999998</v>
      </c>
      <c r="G18" s="7">
        <v>24.01</v>
      </c>
      <c r="H18" s="7">
        <v>0.31526999999999999</v>
      </c>
      <c r="I18" s="4">
        <f t="shared" si="13"/>
        <v>7.2625529340592863</v>
      </c>
      <c r="J18" s="4">
        <f t="shared" si="14"/>
        <v>12.068883599999999</v>
      </c>
      <c r="K18" s="4">
        <f t="shared" si="15"/>
        <v>7.5696327000000005</v>
      </c>
      <c r="L18" s="4">
        <f t="shared" si="16"/>
        <v>4.4992508999999989</v>
      </c>
      <c r="M18" s="4">
        <f t="shared" si="17"/>
        <v>0.62720239509145659</v>
      </c>
      <c r="N18" s="6">
        <v>76</v>
      </c>
      <c r="O18" s="12"/>
    </row>
    <row r="19" spans="2:15" x14ac:dyDescent="0.25">
      <c r="B19" s="6">
        <v>0.44529999999999997</v>
      </c>
      <c r="C19" s="11" t="s">
        <v>62</v>
      </c>
      <c r="D19" s="4" t="str">
        <f t="shared" si="12"/>
        <v>3,3_24</v>
      </c>
      <c r="E19" s="7">
        <v>3.3047</v>
      </c>
      <c r="F19" s="7">
        <v>5.0006000000000004</v>
      </c>
      <c r="G19" s="7">
        <v>24.06</v>
      </c>
      <c r="H19" s="7">
        <v>0.41421999999999998</v>
      </c>
      <c r="I19" s="4">
        <f t="shared" si="13"/>
        <v>7.2805398372015615</v>
      </c>
      <c r="J19" s="4">
        <f t="shared" si="14"/>
        <v>16.525482820000001</v>
      </c>
      <c r="K19" s="4">
        <f t="shared" si="15"/>
        <v>9.9661331999999998</v>
      </c>
      <c r="L19" s="4">
        <f t="shared" si="16"/>
        <v>6.5593496200000008</v>
      </c>
      <c r="M19" s="4">
        <f t="shared" si="17"/>
        <v>0.60307667307235746</v>
      </c>
      <c r="N19" s="6">
        <v>58</v>
      </c>
    </row>
    <row r="20" spans="2:15" x14ac:dyDescent="0.25">
      <c r="B20" s="6">
        <v>0.44729999999999998</v>
      </c>
      <c r="C20" s="11" t="s">
        <v>62</v>
      </c>
      <c r="D20" s="4" t="str">
        <f t="shared" si="12"/>
        <v>3,3_24</v>
      </c>
      <c r="E20" s="7">
        <v>3.3054999999999999</v>
      </c>
      <c r="F20" s="7">
        <v>6.0380000000000003</v>
      </c>
      <c r="G20" s="7">
        <v>24.17</v>
      </c>
      <c r="H20" s="7">
        <v>0.48280000000000001</v>
      </c>
      <c r="I20" s="4">
        <f t="shared" si="13"/>
        <v>7.3120556648010897</v>
      </c>
      <c r="J20" s="4">
        <f t="shared" si="14"/>
        <v>19.958608999999999</v>
      </c>
      <c r="K20" s="4">
        <f t="shared" si="15"/>
        <v>11.669276000000002</v>
      </c>
      <c r="L20" s="4">
        <f t="shared" si="16"/>
        <v>8.2893329999999974</v>
      </c>
      <c r="M20" s="4">
        <f t="shared" si="17"/>
        <v>0.58467381168697685</v>
      </c>
      <c r="N20" s="6">
        <v>50</v>
      </c>
      <c r="O20" s="12"/>
    </row>
    <row r="21" spans="2:15" x14ac:dyDescent="0.25">
      <c r="C21" s="11"/>
      <c r="D21" s="4"/>
      <c r="E21" s="7"/>
      <c r="F21" s="7"/>
      <c r="G21" s="7"/>
      <c r="H21" s="7"/>
      <c r="I21" s="4"/>
      <c r="J21" s="4"/>
      <c r="K21" s="4"/>
      <c r="L21" s="4"/>
      <c r="M21" s="4"/>
    </row>
    <row r="22" spans="2:15" x14ac:dyDescent="0.25">
      <c r="B22" s="6">
        <v>0.123</v>
      </c>
      <c r="C22" s="11" t="s">
        <v>60</v>
      </c>
      <c r="D22" s="4" t="str">
        <f t="shared" ref="D22:D28" si="18">TEXT(ROUND(E22,3),"#,#")&amp;"_"&amp;TEXT(G22,"0")</f>
        <v>5,_12</v>
      </c>
      <c r="E22" s="7">
        <v>5.0029199999999996</v>
      </c>
      <c r="F22" s="7">
        <v>0.12282</v>
      </c>
      <c r="G22" s="7">
        <v>12.081</v>
      </c>
      <c r="H22" s="7">
        <v>3.993E-2</v>
      </c>
      <c r="I22" s="4">
        <f t="shared" ref="I22:I28" si="19">G22/E22</f>
        <v>2.4147897627785375</v>
      </c>
      <c r="J22" s="4">
        <f t="shared" ref="J22:J28" si="20">F22*E22</f>
        <v>0.61445863439999993</v>
      </c>
      <c r="K22" s="4">
        <f t="shared" ref="K22:K28" si="21">H22*G22</f>
        <v>0.48239432999999998</v>
      </c>
      <c r="L22" s="4">
        <f t="shared" ref="L22:L28" si="22">J22-K22</f>
        <v>0.13206430439999994</v>
      </c>
      <c r="M22" s="4">
        <f t="shared" ref="M22:M28" si="23">K22/J22</f>
        <v>0.78507209923259247</v>
      </c>
      <c r="N22" s="6">
        <v>300</v>
      </c>
      <c r="O22" s="12" t="str">
        <f>C22&amp;"_"&amp;TEXT(B22,"0,####")&amp;"_"&amp;TEXT(ROUND(E22,3),"#,#")&amp;"_"&amp;TEXT(G22,"0")&amp;"_"&amp;TEXT(ROUND(K22,1),"0,##")</f>
        <v>dcm_0,123_5,_12_0,5</v>
      </c>
    </row>
    <row r="23" spans="2:15" x14ac:dyDescent="0.25">
      <c r="B23" s="6">
        <v>0.185</v>
      </c>
      <c r="C23" s="11" t="s">
        <v>60</v>
      </c>
      <c r="D23" s="4" t="str">
        <f t="shared" si="18"/>
        <v>5,_12</v>
      </c>
      <c r="E23" s="7">
        <v>5.0053999999999998</v>
      </c>
      <c r="F23" s="7">
        <v>0.24959999999999999</v>
      </c>
      <c r="G23" s="7">
        <v>12.009</v>
      </c>
      <c r="H23" s="7">
        <v>8.3145999999999998E-2</v>
      </c>
      <c r="I23" s="4">
        <f t="shared" si="19"/>
        <v>2.3992088544372079</v>
      </c>
      <c r="J23" s="4">
        <f t="shared" si="20"/>
        <v>1.24934784</v>
      </c>
      <c r="K23" s="4">
        <f t="shared" si="21"/>
        <v>0.99850031400000006</v>
      </c>
      <c r="L23" s="4">
        <f t="shared" si="22"/>
        <v>0.25084752599999993</v>
      </c>
      <c r="M23" s="4">
        <f t="shared" si="23"/>
        <v>0.79921722520447158</v>
      </c>
      <c r="N23" s="6">
        <v>144</v>
      </c>
    </row>
    <row r="24" spans="2:15" x14ac:dyDescent="0.25">
      <c r="B24" s="6">
        <v>0.3085</v>
      </c>
      <c r="C24" s="11" t="s">
        <v>62</v>
      </c>
      <c r="D24" s="4" t="str">
        <f t="shared" si="18"/>
        <v>5,_12</v>
      </c>
      <c r="E24" s="7">
        <v>5.0015999999999998</v>
      </c>
      <c r="F24" s="7">
        <v>0.61338999999999999</v>
      </c>
      <c r="G24" s="7">
        <v>12.01</v>
      </c>
      <c r="H24" s="7">
        <v>0.20702999999999999</v>
      </c>
      <c r="I24" s="4">
        <f t="shared" si="19"/>
        <v>2.4012316058861165</v>
      </c>
      <c r="J24" s="4">
        <f t="shared" si="20"/>
        <v>3.0679314239999997</v>
      </c>
      <c r="K24" s="4">
        <f t="shared" si="21"/>
        <v>2.4864302999999999</v>
      </c>
      <c r="L24" s="4">
        <f t="shared" si="22"/>
        <v>0.58150112399999987</v>
      </c>
      <c r="M24" s="4">
        <f t="shared" si="23"/>
        <v>0.81045823923866167</v>
      </c>
      <c r="N24" s="6">
        <v>57.6</v>
      </c>
    </row>
    <row r="25" spans="2:15" x14ac:dyDescent="0.25">
      <c r="B25" s="6">
        <v>0.3135</v>
      </c>
      <c r="C25" s="11" t="s">
        <v>62</v>
      </c>
      <c r="D25" s="4" t="str">
        <f t="shared" si="18"/>
        <v>5,_12</v>
      </c>
      <c r="E25" s="7">
        <v>5.0049999999999999</v>
      </c>
      <c r="F25" s="7">
        <v>1.2156800000000001</v>
      </c>
      <c r="G25" s="7">
        <v>12.004</v>
      </c>
      <c r="H25" s="7">
        <v>0.41526000000000002</v>
      </c>
      <c r="I25" s="4">
        <f t="shared" si="19"/>
        <v>2.3984015984015983</v>
      </c>
      <c r="J25" s="4">
        <f t="shared" si="20"/>
        <v>6.0844784000000001</v>
      </c>
      <c r="K25" s="4">
        <f t="shared" si="21"/>
        <v>4.9847810399999997</v>
      </c>
      <c r="L25" s="4">
        <f t="shared" si="22"/>
        <v>1.0996973600000004</v>
      </c>
      <c r="M25" s="4">
        <f t="shared" si="23"/>
        <v>0.81926185159930875</v>
      </c>
      <c r="N25" s="6">
        <v>28.8</v>
      </c>
    </row>
    <row r="26" spans="2:15" x14ac:dyDescent="0.25">
      <c r="B26" s="6">
        <v>0.317</v>
      </c>
      <c r="C26" s="11" t="s">
        <v>62</v>
      </c>
      <c r="D26" s="4" t="str">
        <f t="shared" si="18"/>
        <v>5,_12</v>
      </c>
      <c r="E26" s="7">
        <v>5.008</v>
      </c>
      <c r="F26" s="7">
        <v>1.8346</v>
      </c>
      <c r="G26" s="7">
        <v>12.01</v>
      </c>
      <c r="H26" s="7">
        <v>0.62273000000000001</v>
      </c>
      <c r="I26" s="4">
        <f t="shared" si="19"/>
        <v>2.3981629392971247</v>
      </c>
      <c r="J26" s="4">
        <f t="shared" si="20"/>
        <v>9.1876768000000002</v>
      </c>
      <c r="K26" s="4">
        <f t="shared" si="21"/>
        <v>7.4789873</v>
      </c>
      <c r="L26" s="4">
        <f t="shared" si="22"/>
        <v>1.7086895000000002</v>
      </c>
      <c r="M26" s="4">
        <f t="shared" si="23"/>
        <v>0.81402376931674392</v>
      </c>
      <c r="N26" s="6">
        <v>19.2</v>
      </c>
    </row>
    <row r="27" spans="2:15" x14ac:dyDescent="0.25">
      <c r="B27" s="6">
        <v>0.3206</v>
      </c>
      <c r="C27" s="11" t="s">
        <v>62</v>
      </c>
      <c r="D27" s="4" t="str">
        <f t="shared" si="18"/>
        <v>5,_12</v>
      </c>
      <c r="E27" s="7">
        <v>5.0049999999999999</v>
      </c>
      <c r="F27" s="7">
        <v>2.4790000000000001</v>
      </c>
      <c r="G27" s="7">
        <v>12.012499999999999</v>
      </c>
      <c r="H27" s="7">
        <v>0.82889999999999997</v>
      </c>
      <c r="I27" s="4">
        <f t="shared" si="19"/>
        <v>2.4000999000998999</v>
      </c>
      <c r="J27" s="4">
        <f t="shared" si="20"/>
        <v>12.407395000000001</v>
      </c>
      <c r="K27" s="4">
        <f t="shared" si="21"/>
        <v>9.9571612499999986</v>
      </c>
      <c r="L27" s="4">
        <f t="shared" si="22"/>
        <v>2.4502337500000024</v>
      </c>
      <c r="M27" s="4">
        <f t="shared" si="23"/>
        <v>0.80251827639887319</v>
      </c>
      <c r="N27" s="6">
        <v>14.4</v>
      </c>
    </row>
    <row r="28" spans="2:15" x14ac:dyDescent="0.25">
      <c r="B28" s="6">
        <v>0.33800000000000002</v>
      </c>
      <c r="C28" s="11" t="s">
        <v>62</v>
      </c>
      <c r="D28" s="4" t="str">
        <f t="shared" si="18"/>
        <v>5,_12</v>
      </c>
      <c r="E28" s="7">
        <v>5.0030000000000001</v>
      </c>
      <c r="F28" s="7">
        <v>5.9295</v>
      </c>
      <c r="G28" s="7">
        <v>12.36</v>
      </c>
      <c r="H28" s="7">
        <v>1.8026</v>
      </c>
      <c r="I28" s="4">
        <f t="shared" si="19"/>
        <v>2.4705176893863681</v>
      </c>
      <c r="J28" s="4">
        <f t="shared" si="20"/>
        <v>29.665288499999999</v>
      </c>
      <c r="K28" s="4">
        <f t="shared" si="21"/>
        <v>22.280135999999999</v>
      </c>
      <c r="L28" s="4">
        <f t="shared" si="22"/>
        <v>7.3851525000000002</v>
      </c>
      <c r="M28" s="4">
        <f t="shared" si="23"/>
        <v>0.75105071032766124</v>
      </c>
      <c r="N28" s="6">
        <v>6.6</v>
      </c>
    </row>
    <row r="29" spans="2:15" x14ac:dyDescent="0.25">
      <c r="C29" s="11"/>
      <c r="D29" s="4"/>
      <c r="E29" s="7"/>
      <c r="F29" s="7"/>
      <c r="G29" s="7"/>
      <c r="H29" s="7"/>
      <c r="I29" s="4"/>
      <c r="J29" s="4"/>
      <c r="K29" s="4"/>
      <c r="L29" s="4"/>
      <c r="M29" s="4"/>
    </row>
    <row r="30" spans="2:15" x14ac:dyDescent="0.25">
      <c r="B30" s="6">
        <v>0.17899999999999999</v>
      </c>
      <c r="C30" s="11" t="s">
        <v>60</v>
      </c>
      <c r="D30" s="4" t="str">
        <f t="shared" ref="D30:D35" si="24">TEXT(ROUND(E30,3),"#,#")&amp;"_"&amp;TEXT(G30,"0")</f>
        <v>5,_24</v>
      </c>
      <c r="E30" s="7">
        <v>5.0103299999999997</v>
      </c>
      <c r="F30" s="7">
        <v>0.320216</v>
      </c>
      <c r="G30" s="7">
        <v>24.023</v>
      </c>
      <c r="H30" s="7">
        <v>4.8024999999999998E-2</v>
      </c>
      <c r="I30" s="4">
        <f t="shared" ref="I30:I35" si="25">G30/E30</f>
        <v>4.7946941618615941</v>
      </c>
      <c r="J30" s="4">
        <f t="shared" ref="J30:J35" si="26">F30*E30</f>
        <v>1.60438783128</v>
      </c>
      <c r="K30" s="4">
        <f t="shared" ref="K30:K35" si="27">H30*G30</f>
        <v>1.1537045749999999</v>
      </c>
      <c r="L30" s="4">
        <f t="shared" ref="L30:L35" si="28">J30-K30</f>
        <v>0.45068325628000006</v>
      </c>
      <c r="M30" s="4">
        <f t="shared" ref="M30:M35" si="29">K30/J30</f>
        <v>0.71909332176844076</v>
      </c>
      <c r="N30" s="6">
        <v>500</v>
      </c>
      <c r="O30" s="12"/>
    </row>
    <row r="31" spans="2:15" x14ac:dyDescent="0.25">
      <c r="B31" s="6">
        <v>0.29199999999999998</v>
      </c>
      <c r="C31" s="11" t="s">
        <v>60</v>
      </c>
      <c r="D31" s="4" t="str">
        <f t="shared" si="24"/>
        <v>5,_24</v>
      </c>
      <c r="E31" s="7">
        <v>5.0039999999999996</v>
      </c>
      <c r="F31" s="7">
        <v>0.66300000000000003</v>
      </c>
      <c r="G31" s="7">
        <v>24.06</v>
      </c>
      <c r="H31" s="7">
        <v>0.10440000000000001</v>
      </c>
      <c r="I31" s="4">
        <f t="shared" si="25"/>
        <v>4.8081534772182257</v>
      </c>
      <c r="J31" s="4">
        <f t="shared" si="26"/>
        <v>3.3176519999999998</v>
      </c>
      <c r="K31" s="4">
        <f t="shared" si="27"/>
        <v>2.5118640000000001</v>
      </c>
      <c r="L31" s="4">
        <f t="shared" si="28"/>
        <v>0.80578799999999973</v>
      </c>
      <c r="M31" s="4">
        <f t="shared" si="29"/>
        <v>0.75712100003255323</v>
      </c>
      <c r="N31" s="6">
        <v>230</v>
      </c>
    </row>
    <row r="32" spans="2:15" x14ac:dyDescent="0.25">
      <c r="B32" s="6">
        <v>0.40039999999999998</v>
      </c>
      <c r="C32" s="11" t="s">
        <v>62</v>
      </c>
      <c r="D32" s="4" t="str">
        <f t="shared" si="24"/>
        <v>5,_24</v>
      </c>
      <c r="E32" s="7">
        <v>5.0030000000000001</v>
      </c>
      <c r="F32" s="7">
        <v>1.3391999999999999</v>
      </c>
      <c r="G32" s="7">
        <v>24.007000000000001</v>
      </c>
      <c r="H32" s="7">
        <v>0.20845</v>
      </c>
      <c r="I32" s="4">
        <f t="shared" si="25"/>
        <v>4.7985208874675198</v>
      </c>
      <c r="J32" s="4">
        <f t="shared" si="26"/>
        <v>6.7000175999999998</v>
      </c>
      <c r="K32" s="4">
        <f t="shared" si="27"/>
        <v>5.0042591500000002</v>
      </c>
      <c r="L32" s="4">
        <f t="shared" si="28"/>
        <v>1.6957584499999996</v>
      </c>
      <c r="M32" s="4">
        <f t="shared" si="29"/>
        <v>0.7469023887340237</v>
      </c>
      <c r="N32" s="6">
        <v>115</v>
      </c>
      <c r="O32" s="12"/>
    </row>
    <row r="33" spans="2:16" x14ac:dyDescent="0.25">
      <c r="B33" s="6">
        <v>0.40279999999999999</v>
      </c>
      <c r="C33" s="11" t="s">
        <v>62</v>
      </c>
      <c r="D33" s="4" t="str">
        <f t="shared" si="24"/>
        <v>5,_24</v>
      </c>
      <c r="E33" s="7">
        <v>5.0042999999999997</v>
      </c>
      <c r="F33" s="7">
        <v>1.9937</v>
      </c>
      <c r="G33" s="7">
        <v>24.032</v>
      </c>
      <c r="H33" s="7">
        <v>0.31616</v>
      </c>
      <c r="I33" s="4">
        <f t="shared" si="25"/>
        <v>4.8022700477589275</v>
      </c>
      <c r="J33" s="4">
        <f t="shared" si="26"/>
        <v>9.9770729100000004</v>
      </c>
      <c r="K33" s="4">
        <f t="shared" si="27"/>
        <v>7.5979571200000002</v>
      </c>
      <c r="L33" s="4">
        <f t="shared" si="28"/>
        <v>2.3791157900000002</v>
      </c>
      <c r="M33" s="4">
        <f t="shared" si="29"/>
        <v>0.76154170552212597</v>
      </c>
      <c r="N33" s="6">
        <v>76</v>
      </c>
    </row>
    <row r="34" spans="2:16" x14ac:dyDescent="0.25">
      <c r="B34" s="6">
        <v>0.40379999999999999</v>
      </c>
      <c r="C34" s="11" t="s">
        <v>62</v>
      </c>
      <c r="D34" s="4" t="str">
        <f t="shared" si="24"/>
        <v>5,_24</v>
      </c>
      <c r="E34" s="7">
        <v>5.0145</v>
      </c>
      <c r="F34" s="7">
        <v>2.5888</v>
      </c>
      <c r="G34" s="7">
        <v>24.027999999999999</v>
      </c>
      <c r="H34" s="7">
        <v>0.41370000000000001</v>
      </c>
      <c r="I34" s="4">
        <f t="shared" si="25"/>
        <v>4.7917040582311294</v>
      </c>
      <c r="J34" s="4">
        <f t="shared" si="26"/>
        <v>12.981537599999999</v>
      </c>
      <c r="K34" s="4">
        <f t="shared" si="27"/>
        <v>9.9403836000000005</v>
      </c>
      <c r="L34" s="4">
        <f t="shared" si="28"/>
        <v>3.0411539999999988</v>
      </c>
      <c r="M34" s="4">
        <f t="shared" si="29"/>
        <v>0.76573237364424385</v>
      </c>
      <c r="N34" s="6">
        <v>58</v>
      </c>
    </row>
    <row r="35" spans="2:16" x14ac:dyDescent="0.25">
      <c r="B35" s="6">
        <v>0.41149999999999998</v>
      </c>
      <c r="C35" s="11" t="s">
        <v>62</v>
      </c>
      <c r="D35" s="4" t="str">
        <f t="shared" si="24"/>
        <v>5,_24</v>
      </c>
      <c r="E35" s="7">
        <v>5.0110000000000001</v>
      </c>
      <c r="F35" s="7">
        <v>5.4737</v>
      </c>
      <c r="G35" s="7">
        <v>24.033999999999999</v>
      </c>
      <c r="H35" s="7">
        <v>0.82755000000000001</v>
      </c>
      <c r="I35" s="4">
        <f t="shared" si="25"/>
        <v>4.7962482538415481</v>
      </c>
      <c r="J35" s="4">
        <f t="shared" si="26"/>
        <v>27.4287107</v>
      </c>
      <c r="K35" s="4">
        <f t="shared" si="27"/>
        <v>19.889336699999998</v>
      </c>
      <c r="L35" s="4">
        <f t="shared" si="28"/>
        <v>7.5393740000000022</v>
      </c>
      <c r="M35" s="4">
        <f t="shared" si="29"/>
        <v>0.72512838527258949</v>
      </c>
      <c r="N35" s="6">
        <v>29</v>
      </c>
    </row>
    <row r="36" spans="2:16" x14ac:dyDescent="0.25">
      <c r="C36" s="11"/>
      <c r="D36" s="4"/>
      <c r="E36" s="7"/>
      <c r="F36" s="7"/>
      <c r="G36" s="7"/>
      <c r="H36" s="7"/>
      <c r="I36" s="4"/>
      <c r="J36" s="4"/>
      <c r="K36" s="4"/>
      <c r="L36" s="4"/>
      <c r="M36" s="4"/>
    </row>
    <row r="37" spans="2:16" x14ac:dyDescent="0.25">
      <c r="B37" s="6">
        <v>0.2303</v>
      </c>
      <c r="C37" s="11" t="s">
        <v>60</v>
      </c>
      <c r="D37" s="4" t="str">
        <f>TEXT(ROUND(E37,3),"#,#")&amp;"_"&amp;TEXT(G37,"0")</f>
        <v>5,_48</v>
      </c>
      <c r="E37" s="7">
        <v>5</v>
      </c>
      <c r="F37" s="7">
        <v>0.81769999999999998</v>
      </c>
      <c r="G37" s="7">
        <v>48.015000000000001</v>
      </c>
      <c r="H37" s="7">
        <v>4.82E-2</v>
      </c>
      <c r="I37" s="4">
        <f>G37/E37</f>
        <v>9.6029999999999998</v>
      </c>
      <c r="J37" s="4">
        <f>F37*E37</f>
        <v>4.0884999999999998</v>
      </c>
      <c r="K37" s="4">
        <f>H37*G37</f>
        <v>2.3143229999999999</v>
      </c>
      <c r="L37" s="4">
        <f>J37-K37</f>
        <v>1.7741769999999999</v>
      </c>
      <c r="M37" s="4">
        <f>K37/J37</f>
        <v>0.56605674452733279</v>
      </c>
      <c r="N37" s="6">
        <v>1000</v>
      </c>
      <c r="O37" s="12" t="str">
        <f>C37&amp;"_"&amp;TEXT(B37,"0,####")&amp;"_"&amp;TEXT(ROUND(E37,3),"#,#")&amp;"_"&amp;TEXT(G37,"0")&amp;"_"&amp;TEXT(ROUND(K37,1),"0,##")</f>
        <v>dcm_0,2303_5,_48_2,3</v>
      </c>
      <c r="P37" t="s">
        <v>61</v>
      </c>
    </row>
    <row r="38" spans="2:16" x14ac:dyDescent="0.25">
      <c r="B38" s="6">
        <v>0.37219999999999998</v>
      </c>
      <c r="C38" s="11" t="s">
        <v>60</v>
      </c>
      <c r="D38" s="4" t="str">
        <f>TEXT(ROUND(E38,3),"#,#")&amp;"_"&amp;TEXT(G38,"0")</f>
        <v>5,_48</v>
      </c>
      <c r="E38" s="7">
        <v>5.0027999999999997</v>
      </c>
      <c r="F38" s="7">
        <v>1.8003</v>
      </c>
      <c r="G38" s="7">
        <v>48.07</v>
      </c>
      <c r="H38" s="7">
        <v>0.104</v>
      </c>
      <c r="I38" s="4">
        <f>G38/E38</f>
        <v>9.6086191732629729</v>
      </c>
      <c r="J38" s="4">
        <f>F38*E38</f>
        <v>9.0065408399999995</v>
      </c>
      <c r="K38" s="4">
        <f>H38*G38</f>
        <v>4.9992799999999997</v>
      </c>
      <c r="L38" s="4">
        <f>J38-K38</f>
        <v>4.0072608399999998</v>
      </c>
      <c r="M38" s="4">
        <f>K38/J38</f>
        <v>0.55507215131886301</v>
      </c>
      <c r="N38" s="6">
        <v>460</v>
      </c>
    </row>
    <row r="39" spans="2:16" x14ac:dyDescent="0.25">
      <c r="B39" s="6">
        <v>0.44650000000000001</v>
      </c>
      <c r="C39" s="11" t="s">
        <v>62</v>
      </c>
      <c r="D39" s="4" t="str">
        <f>TEXT(ROUND(E39,3),"#,#")&amp;"_"&amp;TEXT(G39,"0")</f>
        <v>5,_48</v>
      </c>
      <c r="E39" s="7">
        <v>5.0025000000000004</v>
      </c>
      <c r="F39" s="7">
        <v>2.5310000000000001</v>
      </c>
      <c r="G39" s="7">
        <v>48.076999999999998</v>
      </c>
      <c r="H39" s="7">
        <v>0.15589</v>
      </c>
      <c r="I39" s="4">
        <f>G39/E39</f>
        <v>9.6105947026486742</v>
      </c>
      <c r="J39" s="4">
        <f>F39*E39</f>
        <v>12.661327500000002</v>
      </c>
      <c r="K39" s="4">
        <f>H39*G39</f>
        <v>7.4947235299999999</v>
      </c>
      <c r="L39" s="4">
        <f>J39-K39</f>
        <v>5.1666039700000024</v>
      </c>
      <c r="M39" s="4">
        <f>K39/J39</f>
        <v>0.59193820948079878</v>
      </c>
      <c r="N39" s="6">
        <v>307</v>
      </c>
    </row>
    <row r="40" spans="2:16" x14ac:dyDescent="0.25">
      <c r="B40" s="6">
        <v>0.44750000000000001</v>
      </c>
      <c r="C40" s="11" t="s">
        <v>62</v>
      </c>
      <c r="D40" s="4" t="str">
        <f>TEXT(ROUND(E40,3),"#,#")&amp;"_"&amp;TEXT(G40,"0")</f>
        <v>5,_48</v>
      </c>
      <c r="E40" s="7">
        <v>5.0069999999999997</v>
      </c>
      <c r="F40" s="7">
        <v>3.242</v>
      </c>
      <c r="G40" s="7">
        <v>48.07</v>
      </c>
      <c r="H40" s="7">
        <v>0.2077</v>
      </c>
      <c r="I40" s="4">
        <f>G40/E40</f>
        <v>9.6005592170960661</v>
      </c>
      <c r="J40" s="4">
        <f>F40*E40</f>
        <v>16.232693999999999</v>
      </c>
      <c r="K40" s="4">
        <f>H40*G40</f>
        <v>9.984138999999999</v>
      </c>
      <c r="L40" s="4">
        <f>J40-K40</f>
        <v>6.2485549999999996</v>
      </c>
      <c r="M40" s="4">
        <f>K40/J40</f>
        <v>0.61506358710390274</v>
      </c>
      <c r="N40" s="6">
        <v>230</v>
      </c>
    </row>
    <row r="41" spans="2:16" x14ac:dyDescent="0.25">
      <c r="B41" s="6">
        <v>0.45079999999999998</v>
      </c>
      <c r="C41" s="11" t="s">
        <v>62</v>
      </c>
      <c r="D41" s="4" t="str">
        <f>TEXT(ROUND(E41,3),"#,#")&amp;"_"&amp;TEXT(G41,"0")</f>
        <v>5,_48</v>
      </c>
      <c r="E41" s="7">
        <v>5.0052000000000003</v>
      </c>
      <c r="F41" s="7">
        <v>6.0830000000000002</v>
      </c>
      <c r="G41" s="7">
        <v>48.03</v>
      </c>
      <c r="H41" s="7">
        <v>0.39745000000000003</v>
      </c>
      <c r="I41" s="4">
        <f>G41/E41</f>
        <v>9.5960201390553816</v>
      </c>
      <c r="J41" s="4">
        <f>F41*E41</f>
        <v>30.446631600000003</v>
      </c>
      <c r="K41" s="4">
        <f>H41*G41</f>
        <v>19.089523500000002</v>
      </c>
      <c r="L41" s="4">
        <f>J41-K41</f>
        <v>11.357108100000001</v>
      </c>
      <c r="M41" s="4">
        <f>K41/J41</f>
        <v>0.62698310114541533</v>
      </c>
      <c r="N41" s="6">
        <v>120</v>
      </c>
      <c r="O41" s="12"/>
    </row>
    <row r="43" spans="2:16" x14ac:dyDescent="0.25">
      <c r="B43" s="6">
        <v>0.05</v>
      </c>
      <c r="C43" s="11" t="s">
        <v>60</v>
      </c>
      <c r="D43" s="4" t="str">
        <f t="shared" ref="D43:D53" si="30">TEXT(ROUND(E43,3),"#,#")&amp;"_"&amp;TEXT(G43,"0")</f>
        <v>12,_24</v>
      </c>
      <c r="E43" s="7">
        <v>12.002800000000001</v>
      </c>
      <c r="F43" s="7">
        <v>7.3330000000000006E-2</v>
      </c>
      <c r="G43" s="7">
        <v>24.033000000000001</v>
      </c>
      <c r="H43" s="7">
        <v>2.419E-2</v>
      </c>
      <c r="I43" s="4">
        <f>G43/E43</f>
        <v>2.0022828006798412</v>
      </c>
      <c r="J43" s="4">
        <f t="shared" ref="J43:J53" si="31">F43*E43</f>
        <v>0.88016532400000014</v>
      </c>
      <c r="K43" s="4">
        <f t="shared" ref="K43:K53" si="32">H43*G43</f>
        <v>0.58135827000000007</v>
      </c>
      <c r="L43" s="4">
        <f t="shared" ref="L43:L53" si="33">J43-K43</f>
        <v>0.29880705400000007</v>
      </c>
      <c r="M43" s="4">
        <f t="shared" ref="M43:M53" si="34">K43/J43</f>
        <v>0.66051030885647566</v>
      </c>
      <c r="N43" s="6">
        <v>1000</v>
      </c>
      <c r="O43" s="12" t="str">
        <f>C43&amp;"_"&amp;TEXT(B43,"0,####")&amp;"_"&amp;TEXT(ROUND(E43,3),"#,#")&amp;"_"&amp;TEXT(G43,"0")&amp;"_"&amp;TEXT(ROUND(K43,1),"0,##")</f>
        <v>dcm_0,05_12,_24_0,6</v>
      </c>
      <c r="P43" t="s">
        <v>61</v>
      </c>
    </row>
    <row r="44" spans="2:16" x14ac:dyDescent="0.25">
      <c r="B44" s="6">
        <v>9.1999999999999998E-2</v>
      </c>
      <c r="C44" s="11" t="s">
        <v>60</v>
      </c>
      <c r="D44" s="4" t="str">
        <f t="shared" si="30"/>
        <v>12,_24</v>
      </c>
      <c r="E44" s="7">
        <v>12.0017</v>
      </c>
      <c r="F44" s="7">
        <v>0.14180000000000001</v>
      </c>
      <c r="G44" s="7">
        <v>24.03</v>
      </c>
      <c r="H44" s="7">
        <v>5.9499999999999997E-2</v>
      </c>
      <c r="I44" s="4">
        <f t="shared" ref="I44:I53" si="35">G44/E44</f>
        <v>2.0022163526833698</v>
      </c>
      <c r="J44" s="4">
        <f t="shared" si="31"/>
        <v>1.70184106</v>
      </c>
      <c r="K44" s="4">
        <f t="shared" si="32"/>
        <v>1.4297850000000001</v>
      </c>
      <c r="L44" s="4">
        <f t="shared" si="33"/>
        <v>0.27205605999999993</v>
      </c>
      <c r="M44" s="4">
        <f t="shared" si="34"/>
        <v>0.84014014798773284</v>
      </c>
      <c r="N44" s="6">
        <v>400</v>
      </c>
    </row>
    <row r="45" spans="2:16" x14ac:dyDescent="0.25">
      <c r="B45" s="6">
        <v>0.10829999999999999</v>
      </c>
      <c r="C45" s="11" t="s">
        <v>60</v>
      </c>
      <c r="D45" s="4" t="str">
        <f t="shared" si="30"/>
        <v>12,_24</v>
      </c>
      <c r="E45" s="7">
        <v>12.0076</v>
      </c>
      <c r="F45" s="7">
        <v>0.23891999999999999</v>
      </c>
      <c r="G45" s="7">
        <v>24.015999999999998</v>
      </c>
      <c r="H45" s="7">
        <v>0.10025000000000001</v>
      </c>
      <c r="I45" s="4">
        <f t="shared" si="35"/>
        <v>2.000066624471168</v>
      </c>
      <c r="J45" s="4">
        <f t="shared" si="31"/>
        <v>2.8688557919999997</v>
      </c>
      <c r="K45" s="4">
        <f t="shared" si="32"/>
        <v>2.4076040000000001</v>
      </c>
      <c r="L45" s="4">
        <f t="shared" si="33"/>
        <v>0.46125179199999966</v>
      </c>
      <c r="M45" s="4">
        <f t="shared" si="34"/>
        <v>0.8392209907217254</v>
      </c>
      <c r="N45" s="6">
        <v>240</v>
      </c>
    </row>
    <row r="46" spans="2:16" x14ac:dyDescent="0.25">
      <c r="B46" s="6">
        <v>0.16200000000000001</v>
      </c>
      <c r="C46" s="11" t="s">
        <v>60</v>
      </c>
      <c r="D46" s="4" t="str">
        <f t="shared" si="30"/>
        <v>12,_24</v>
      </c>
      <c r="E46" s="7">
        <v>12.0076</v>
      </c>
      <c r="F46" s="7">
        <v>0.47781000000000001</v>
      </c>
      <c r="G46" s="7">
        <v>24.036000000000001</v>
      </c>
      <c r="H46" s="7">
        <v>0.20866000000000001</v>
      </c>
      <c r="I46" s="4">
        <f t="shared" si="35"/>
        <v>2.0017322362503749</v>
      </c>
      <c r="J46" s="4">
        <f t="shared" si="31"/>
        <v>5.7373513560000005</v>
      </c>
      <c r="K46" s="4">
        <f t="shared" si="32"/>
        <v>5.0153517600000006</v>
      </c>
      <c r="L46" s="4">
        <f t="shared" si="33"/>
        <v>0.72199959599999985</v>
      </c>
      <c r="M46" s="4">
        <f t="shared" si="34"/>
        <v>0.87415803021285288</v>
      </c>
      <c r="N46" s="6">
        <v>115</v>
      </c>
    </row>
    <row r="47" spans="2:16" x14ac:dyDescent="0.25">
      <c r="B47" s="6">
        <v>0.20799999999999999</v>
      </c>
      <c r="C47" s="11" t="s">
        <v>60</v>
      </c>
      <c r="D47" s="4" t="str">
        <f t="shared" si="30"/>
        <v>12,_24</v>
      </c>
      <c r="E47" s="7">
        <v>12.009600000000001</v>
      </c>
      <c r="F47" s="7">
        <v>0.72157000000000004</v>
      </c>
      <c r="G47" s="7">
        <v>24.013000000000002</v>
      </c>
      <c r="H47" s="7">
        <v>0.31633</v>
      </c>
      <c r="I47" s="4">
        <f t="shared" si="35"/>
        <v>1.9994837463362642</v>
      </c>
      <c r="J47" s="4">
        <f t="shared" si="31"/>
        <v>8.6657670720000013</v>
      </c>
      <c r="K47" s="4">
        <f t="shared" si="32"/>
        <v>7.5960322900000001</v>
      </c>
      <c r="L47" s="4">
        <f t="shared" si="33"/>
        <v>1.0697347820000012</v>
      </c>
      <c r="M47" s="4">
        <f t="shared" si="34"/>
        <v>0.87655625023012373</v>
      </c>
      <c r="N47" s="6">
        <v>76</v>
      </c>
      <c r="O47" s="12"/>
    </row>
    <row r="48" spans="2:16" x14ac:dyDescent="0.25">
      <c r="B48" s="6">
        <v>0.253</v>
      </c>
      <c r="C48" s="11" t="s">
        <v>62</v>
      </c>
      <c r="D48" s="4" t="str">
        <f t="shared" si="30"/>
        <v>12,_24</v>
      </c>
      <c r="E48" s="7">
        <v>12.0029</v>
      </c>
      <c r="F48" s="7">
        <v>0.93081999999999998</v>
      </c>
      <c r="G48" s="7">
        <v>24.001000000000001</v>
      </c>
      <c r="H48" s="7">
        <v>0.41387000000000002</v>
      </c>
      <c r="I48" s="4">
        <f t="shared" si="35"/>
        <v>1.9996000966433112</v>
      </c>
      <c r="J48" s="4">
        <f t="shared" si="31"/>
        <v>11.172539378</v>
      </c>
      <c r="K48" s="4">
        <f t="shared" si="32"/>
        <v>9.9332938700000017</v>
      </c>
      <c r="L48" s="4">
        <f t="shared" si="33"/>
        <v>1.239245507999998</v>
      </c>
      <c r="M48" s="4">
        <f t="shared" si="34"/>
        <v>0.88908112416768803</v>
      </c>
      <c r="N48" s="6">
        <v>58</v>
      </c>
    </row>
    <row r="49" spans="2:16" x14ac:dyDescent="0.25">
      <c r="B49" s="6">
        <v>0.26050000000000001</v>
      </c>
      <c r="C49" s="11" t="s">
        <v>62</v>
      </c>
      <c r="D49" s="4" t="str">
        <f t="shared" si="30"/>
        <v>12,_24</v>
      </c>
      <c r="E49" s="7">
        <v>12.003299999999999</v>
      </c>
      <c r="F49" s="7">
        <v>1.9219999999999999</v>
      </c>
      <c r="G49" s="7">
        <v>24.045999999999999</v>
      </c>
      <c r="H49" s="7">
        <v>0.85840000000000005</v>
      </c>
      <c r="I49" s="4">
        <f t="shared" si="35"/>
        <v>2.0032824306649006</v>
      </c>
      <c r="J49" s="4">
        <f t="shared" si="31"/>
        <v>23.070342599999996</v>
      </c>
      <c r="K49" s="4">
        <f t="shared" si="32"/>
        <v>20.641086399999999</v>
      </c>
      <c r="L49" s="4">
        <f t="shared" si="33"/>
        <v>2.4292561999999975</v>
      </c>
      <c r="M49" s="4">
        <f t="shared" si="34"/>
        <v>0.89470220524596811</v>
      </c>
      <c r="N49" s="6">
        <v>28</v>
      </c>
    </row>
    <row r="50" spans="2:16" x14ac:dyDescent="0.25">
      <c r="B50" s="6">
        <v>0.26300000000000001</v>
      </c>
      <c r="C50" s="11" t="s">
        <v>62</v>
      </c>
      <c r="D50" s="4" t="str">
        <f>TEXT(ROUND(E50,3),"#,#")&amp;"_"&amp;TEXT(G50,"0")</f>
        <v>12,_24</v>
      </c>
      <c r="E50" s="7">
        <v>12.042</v>
      </c>
      <c r="F50" s="7">
        <v>2.6705000000000001</v>
      </c>
      <c r="G50" s="7">
        <v>24.014500000000002</v>
      </c>
      <c r="H50" s="7">
        <v>1.1869000000000001</v>
      </c>
      <c r="I50" s="4">
        <f t="shared" ref="I50" si="36">G50/E50</f>
        <v>1.9942285334662018</v>
      </c>
      <c r="J50" s="4">
        <f t="shared" ref="J50" si="37">F50*E50</f>
        <v>32.158161</v>
      </c>
      <c r="K50" s="4">
        <f t="shared" ref="K50" si="38">H50*G50</f>
        <v>28.502810050000004</v>
      </c>
      <c r="L50" s="4">
        <f t="shared" ref="L50" si="39">J50-K50</f>
        <v>3.6553509499999954</v>
      </c>
      <c r="M50" s="4">
        <f t="shared" ref="M50" si="40">K50/J50</f>
        <v>0.88633209000974911</v>
      </c>
      <c r="N50" s="6">
        <v>20</v>
      </c>
      <c r="O50" s="12" t="str">
        <f>C50&amp;"_"&amp;TEXT(B50,"0,####")&amp;"_"&amp;TEXT(ROUND(E50,3),"#,#")&amp;"_"&amp;TEXT(G50,"0")&amp;"_"&amp;TEXT(ROUND(K50,1),"0,##")</f>
        <v>ccm_0,263_12,_24_28,5</v>
      </c>
      <c r="P50" s="16" t="s">
        <v>85</v>
      </c>
    </row>
    <row r="51" spans="2:16" x14ac:dyDescent="0.25">
      <c r="B51" s="6">
        <v>0.26300000000000001</v>
      </c>
      <c r="C51" s="11" t="s">
        <v>62</v>
      </c>
      <c r="D51" s="4" t="str">
        <f t="shared" si="30"/>
        <v>12,_24</v>
      </c>
      <c r="E51" s="7">
        <v>12.01</v>
      </c>
      <c r="F51" s="7">
        <v>2.8304</v>
      </c>
      <c r="G51" s="7">
        <v>24.018999999999998</v>
      </c>
      <c r="H51" s="7">
        <v>1.2615000000000001</v>
      </c>
      <c r="I51" s="4">
        <f t="shared" si="35"/>
        <v>1.9999167360532888</v>
      </c>
      <c r="J51" s="4">
        <f t="shared" si="31"/>
        <v>33.993104000000002</v>
      </c>
      <c r="K51" s="4">
        <f t="shared" si="32"/>
        <v>30.299968499999999</v>
      </c>
      <c r="L51" s="4">
        <f t="shared" si="33"/>
        <v>3.6931355000000039</v>
      </c>
      <c r="M51" s="4">
        <f t="shared" si="34"/>
        <v>0.89135633215489818</v>
      </c>
      <c r="N51" s="6">
        <v>19</v>
      </c>
    </row>
    <row r="52" spans="2:16" x14ac:dyDescent="0.25">
      <c r="B52" s="6">
        <v>0.26800000000000002</v>
      </c>
      <c r="C52" s="11" t="s">
        <v>62</v>
      </c>
      <c r="D52" s="4" t="str">
        <f t="shared" si="30"/>
        <v>12,_24</v>
      </c>
      <c r="E52" s="7">
        <v>12.023199999999999</v>
      </c>
      <c r="F52" s="7">
        <v>4.5499000000000001</v>
      </c>
      <c r="G52" s="7">
        <v>24.076000000000001</v>
      </c>
      <c r="H52" s="7">
        <v>1.9970000000000001</v>
      </c>
      <c r="I52" s="4">
        <f t="shared" si="35"/>
        <v>2.0024619069798391</v>
      </c>
      <c r="J52" s="4">
        <f t="shared" si="31"/>
        <v>54.704357679999994</v>
      </c>
      <c r="K52" s="4">
        <f t="shared" si="32"/>
        <v>48.079772000000006</v>
      </c>
      <c r="L52" s="4">
        <f t="shared" si="33"/>
        <v>6.6245856799999885</v>
      </c>
      <c r="M52" s="4">
        <f t="shared" si="34"/>
        <v>0.87890204800956928</v>
      </c>
      <c r="N52" s="6">
        <v>12</v>
      </c>
    </row>
    <row r="53" spans="2:16" x14ac:dyDescent="0.25">
      <c r="B53" s="6">
        <v>0.27</v>
      </c>
      <c r="C53" s="11" t="s">
        <v>62</v>
      </c>
      <c r="D53" s="4" t="str">
        <f t="shared" si="30"/>
        <v>12,_24</v>
      </c>
      <c r="E53" s="7">
        <v>12.005800000000001</v>
      </c>
      <c r="F53" s="7">
        <v>6.0917000000000003</v>
      </c>
      <c r="G53" s="7">
        <v>24.029599999999999</v>
      </c>
      <c r="H53" s="7">
        <v>2.6518000000000002</v>
      </c>
      <c r="I53" s="4">
        <f t="shared" si="35"/>
        <v>2.001499275350247</v>
      </c>
      <c r="J53" s="4">
        <f t="shared" si="31"/>
        <v>73.135731860000007</v>
      </c>
      <c r="K53" s="4">
        <f t="shared" si="32"/>
        <v>63.721693279999997</v>
      </c>
      <c r="L53" s="4">
        <f t="shared" si="33"/>
        <v>9.4140385800000104</v>
      </c>
      <c r="M53" s="4">
        <f t="shared" si="34"/>
        <v>0.87127990189500226</v>
      </c>
      <c r="N53" s="6">
        <v>9</v>
      </c>
      <c r="O53" s="12" t="str">
        <f>C53&amp;"_"&amp;TEXT(B53,"0,####")&amp;"_"&amp;TEXT(ROUND(E53,3),"#,#")&amp;"_"&amp;TEXT(G53,"0")&amp;"_"&amp;TEXT(ROUND(K53,1),"0,##")</f>
        <v>ccm_0,27_12,_24_63,7</v>
      </c>
    </row>
    <row r="54" spans="2:16" x14ac:dyDescent="0.25">
      <c r="C54" s="11"/>
      <c r="D54" s="4"/>
      <c r="E54" s="7"/>
      <c r="F54" s="7"/>
      <c r="G54" s="7"/>
      <c r="H54" s="7"/>
      <c r="I54" s="4"/>
      <c r="J54" s="4"/>
      <c r="K54" s="4"/>
      <c r="L54" s="4"/>
      <c r="M54" s="4"/>
    </row>
    <row r="55" spans="2:16" x14ac:dyDescent="0.25">
      <c r="B55" s="6">
        <v>0.1222</v>
      </c>
      <c r="C55" s="11" t="s">
        <v>60</v>
      </c>
      <c r="D55" s="4" t="str">
        <f t="shared" ref="D55:D61" si="41">TEXT(ROUND(E55,3),"#,#")&amp;"_"&amp;TEXT(G55,"0")</f>
        <v>12,_48</v>
      </c>
      <c r="E55" s="7">
        <v>12.0075</v>
      </c>
      <c r="F55" s="7">
        <v>0.28220000000000001</v>
      </c>
      <c r="G55" s="7">
        <v>48.034999999999997</v>
      </c>
      <c r="H55" s="7">
        <v>4.8335000000000003E-2</v>
      </c>
      <c r="I55" s="4">
        <f t="shared" ref="I55:I61" si="42">G55/E55</f>
        <v>4.0004164064126586</v>
      </c>
      <c r="J55" s="4">
        <f t="shared" ref="J55:J61" si="43">F55*E55</f>
        <v>3.3885165000000002</v>
      </c>
      <c r="K55" s="4">
        <f t="shared" ref="K55:K61" si="44">H55*G55</f>
        <v>2.3217717250000001</v>
      </c>
      <c r="L55" s="4">
        <f t="shared" ref="L55:L61" si="45">J55-K55</f>
        <v>1.0667447750000001</v>
      </c>
      <c r="M55" s="4">
        <f t="shared" ref="M55:M61" si="46">K55/J55</f>
        <v>0.6851882601132383</v>
      </c>
      <c r="N55" s="6">
        <v>1000</v>
      </c>
      <c r="O55" s="12" t="str">
        <f>C55&amp;"_"&amp;TEXT(B55,"0,####")&amp;"_"&amp;TEXT(ROUND(E55,3),"#,#")&amp;"_"&amp;TEXT(G55,"0")&amp;"_"&amp;TEXT(ROUND(K55,1),"0,##")</f>
        <v>dcm_0,1222_12,_48_2,3</v>
      </c>
      <c r="P55" t="s">
        <v>61</v>
      </c>
    </row>
    <row r="56" spans="2:16" x14ac:dyDescent="0.25">
      <c r="B56" s="6">
        <v>0.17849999999999999</v>
      </c>
      <c r="C56" s="11" t="s">
        <v>60</v>
      </c>
      <c r="D56" s="4" t="str">
        <f t="shared" si="41"/>
        <v>12,_48</v>
      </c>
      <c r="E56" s="7">
        <v>12.027699999999999</v>
      </c>
      <c r="F56" s="7">
        <v>0.53059999999999996</v>
      </c>
      <c r="G56" s="7">
        <v>48.05</v>
      </c>
      <c r="H56" s="7">
        <v>0.106</v>
      </c>
      <c r="I56" s="4">
        <f t="shared" si="42"/>
        <v>3.9949450019538233</v>
      </c>
      <c r="J56" s="4">
        <f t="shared" si="43"/>
        <v>6.3818976199999993</v>
      </c>
      <c r="K56" s="4">
        <f t="shared" si="44"/>
        <v>5.0932999999999993</v>
      </c>
      <c r="L56" s="4">
        <f t="shared" si="45"/>
        <v>1.28859762</v>
      </c>
      <c r="M56" s="4">
        <f t="shared" si="46"/>
        <v>0.79808550736356054</v>
      </c>
      <c r="N56" s="6">
        <v>450</v>
      </c>
    </row>
    <row r="57" spans="2:16" x14ac:dyDescent="0.25">
      <c r="B57" s="6">
        <v>0.249</v>
      </c>
      <c r="C57" s="11" t="s">
        <v>60</v>
      </c>
      <c r="D57" s="4" t="str">
        <f t="shared" si="41"/>
        <v>12,_48</v>
      </c>
      <c r="E57" s="7">
        <v>12.0068</v>
      </c>
      <c r="F57" s="7">
        <v>1.0429900000000001</v>
      </c>
      <c r="G57" s="7">
        <v>48.027999999999999</v>
      </c>
      <c r="H57" s="7">
        <v>0.20907999999999999</v>
      </c>
      <c r="I57" s="4">
        <f t="shared" si="42"/>
        <v>4.0000666289102842</v>
      </c>
      <c r="J57" s="4">
        <f t="shared" si="43"/>
        <v>12.522972332000002</v>
      </c>
      <c r="K57" s="4">
        <f t="shared" si="44"/>
        <v>10.04169424</v>
      </c>
      <c r="L57" s="4">
        <f t="shared" si="45"/>
        <v>2.4812780920000019</v>
      </c>
      <c r="M57" s="4">
        <f t="shared" si="46"/>
        <v>0.8018618881988917</v>
      </c>
      <c r="N57" s="6">
        <v>230</v>
      </c>
    </row>
    <row r="58" spans="2:16" x14ac:dyDescent="0.25">
      <c r="B58" s="6">
        <v>0.31719999999999998</v>
      </c>
      <c r="C58" s="11" t="s">
        <v>60</v>
      </c>
      <c r="D58" s="4" t="str">
        <f t="shared" si="41"/>
        <v>12,_48</v>
      </c>
      <c r="E58" s="7">
        <v>12.001300000000001</v>
      </c>
      <c r="F58" s="7">
        <v>1.9373899999999999</v>
      </c>
      <c r="G58" s="7">
        <v>48.021999999999998</v>
      </c>
      <c r="H58" s="7">
        <v>0.40016000000000002</v>
      </c>
      <c r="I58" s="4">
        <f t="shared" si="42"/>
        <v>4.0013998483497621</v>
      </c>
      <c r="J58" s="4">
        <f t="shared" si="43"/>
        <v>23.251198606999999</v>
      </c>
      <c r="K58" s="4">
        <f t="shared" si="44"/>
        <v>19.216483520000001</v>
      </c>
      <c r="L58" s="4">
        <f t="shared" si="45"/>
        <v>4.0347150869999986</v>
      </c>
      <c r="M58" s="4">
        <f t="shared" si="46"/>
        <v>0.82647281307100839</v>
      </c>
      <c r="N58" s="6">
        <v>120</v>
      </c>
    </row>
    <row r="59" spans="2:16" x14ac:dyDescent="0.25">
      <c r="B59" s="6">
        <v>0.37530000000000002</v>
      </c>
      <c r="C59" s="11" t="s">
        <v>62</v>
      </c>
      <c r="D59" s="4" t="str">
        <f t="shared" si="41"/>
        <v>12,_48</v>
      </c>
      <c r="E59" s="7">
        <v>12.0192</v>
      </c>
      <c r="F59" s="7">
        <v>2.9769999999999999</v>
      </c>
      <c r="G59" s="7">
        <v>48.018999999999998</v>
      </c>
      <c r="H59" s="7">
        <v>0.62141999999999997</v>
      </c>
      <c r="I59" s="4">
        <f t="shared" si="42"/>
        <v>3.9951910276890308</v>
      </c>
      <c r="J59" s="4">
        <f t="shared" si="43"/>
        <v>35.781158399999995</v>
      </c>
      <c r="K59" s="4">
        <f t="shared" si="44"/>
        <v>29.839966979999996</v>
      </c>
      <c r="L59" s="4">
        <f t="shared" si="45"/>
        <v>5.9411914199999991</v>
      </c>
      <c r="M59" s="4">
        <f t="shared" si="46"/>
        <v>0.83395754397934752</v>
      </c>
      <c r="N59" s="6">
        <v>77</v>
      </c>
    </row>
    <row r="60" spans="2:16" x14ac:dyDescent="0.25">
      <c r="B60" s="6">
        <v>0.378</v>
      </c>
      <c r="C60" s="11" t="s">
        <v>62</v>
      </c>
      <c r="D60" s="4" t="str">
        <f t="shared" si="41"/>
        <v>12,_48</v>
      </c>
      <c r="E60" s="7">
        <v>12.0251</v>
      </c>
      <c r="F60" s="7">
        <v>4.968</v>
      </c>
      <c r="G60" s="7">
        <v>48.04</v>
      </c>
      <c r="H60" s="7">
        <v>1.0445</v>
      </c>
      <c r="I60" s="4">
        <f t="shared" si="42"/>
        <v>3.9949771727470043</v>
      </c>
      <c r="J60" s="4">
        <f t="shared" si="43"/>
        <v>59.740696800000002</v>
      </c>
      <c r="K60" s="4">
        <f t="shared" si="44"/>
        <v>50.177779999999998</v>
      </c>
      <c r="L60" s="4">
        <f t="shared" si="45"/>
        <v>9.5629168000000035</v>
      </c>
      <c r="M60" s="4">
        <f t="shared" si="46"/>
        <v>0.83992625944731192</v>
      </c>
      <c r="N60" s="6">
        <v>46</v>
      </c>
    </row>
    <row r="61" spans="2:16" x14ac:dyDescent="0.25">
      <c r="B61" s="6">
        <v>0.37869999999999998</v>
      </c>
      <c r="C61" s="11" t="s">
        <v>62</v>
      </c>
      <c r="D61" s="4" t="str">
        <f t="shared" si="41"/>
        <v>12,_48</v>
      </c>
      <c r="E61" s="7">
        <v>12.01</v>
      </c>
      <c r="F61" s="7">
        <v>6.0125000000000002</v>
      </c>
      <c r="G61" s="7">
        <v>48.027999999999999</v>
      </c>
      <c r="H61" s="7">
        <v>1.2627999999999999</v>
      </c>
      <c r="I61" s="4">
        <f t="shared" si="42"/>
        <v>3.9990008326394673</v>
      </c>
      <c r="J61" s="4">
        <f t="shared" si="43"/>
        <v>72.210125000000005</v>
      </c>
      <c r="K61" s="4">
        <f t="shared" si="44"/>
        <v>60.649758399999996</v>
      </c>
      <c r="L61" s="4">
        <f t="shared" si="45"/>
        <v>11.560366600000009</v>
      </c>
      <c r="M61" s="4">
        <f t="shared" si="46"/>
        <v>0.83990656988891776</v>
      </c>
      <c r="N61" s="6">
        <v>38</v>
      </c>
      <c r="O61" s="12" t="str">
        <f>C61&amp;"_"&amp;TEXT(B61,"0,####")&amp;"_"&amp;TEXT(ROUND(E61,3),"#,#")&amp;"_"&amp;TEXT(G61,"0")&amp;"_"&amp;TEXT(ROUND(K61,1),"0,##")</f>
        <v>ccm_0,3787_12,_48_60,6</v>
      </c>
    </row>
    <row r="63" spans="2:16" x14ac:dyDescent="0.25">
      <c r="B63" s="6">
        <v>4.4200000000000003E-2</v>
      </c>
      <c r="C63" s="11" t="s">
        <v>60</v>
      </c>
      <c r="D63" s="4" t="str">
        <f t="shared" ref="D63:D72" si="47">TEXT(ROUND(E63,3),"#,#")&amp;"_"&amp;TEXT(G63,"0")</f>
        <v>24,_48</v>
      </c>
      <c r="E63" s="7">
        <v>24.003</v>
      </c>
      <c r="F63" s="7">
        <v>0.12831000000000001</v>
      </c>
      <c r="G63" s="7">
        <v>48.015000000000001</v>
      </c>
      <c r="H63" s="7">
        <v>4.8340000000000001E-2</v>
      </c>
      <c r="I63" s="4">
        <f t="shared" ref="I63:I72" si="48">G63/E63</f>
        <v>2.0003749531308586</v>
      </c>
      <c r="J63" s="4">
        <f t="shared" ref="J63:J72" si="49">F63*E63</f>
        <v>3.07982493</v>
      </c>
      <c r="K63" s="4">
        <f t="shared" ref="K63:K72" si="50">H63*G63</f>
        <v>2.3210451000000001</v>
      </c>
      <c r="L63" s="4">
        <f>J63-K63</f>
        <v>0.75877982999999993</v>
      </c>
      <c r="M63" s="4">
        <f t="shared" ref="M63:M72" si="51">K63/J63</f>
        <v>0.75362890838084096</v>
      </c>
      <c r="N63" s="6">
        <v>1000</v>
      </c>
      <c r="O63" s="12" t="str">
        <f>C63&amp;"_"&amp;TEXT(B63,"0,####")&amp;"_"&amp;TEXT(ROUND(E63,3),"#,#")&amp;"_"&amp;TEXT(G63,"0")&amp;"_"&amp;TEXT(ROUND(K63,1),"0,##")</f>
        <v>dcm_0,0442_24,_48_2,3</v>
      </c>
      <c r="P63" t="s">
        <v>61</v>
      </c>
    </row>
    <row r="64" spans="2:16" x14ac:dyDescent="0.25">
      <c r="B64" s="6">
        <v>8.3500000000000005E-2</v>
      </c>
      <c r="C64" s="11" t="s">
        <v>60</v>
      </c>
      <c r="D64" s="4" t="str">
        <f t="shared" si="47"/>
        <v>24,_48</v>
      </c>
      <c r="E64" s="7">
        <v>24.012</v>
      </c>
      <c r="F64" s="7">
        <v>0.25224999999999997</v>
      </c>
      <c r="G64" s="7">
        <v>48.000100000000003</v>
      </c>
      <c r="H64" s="7">
        <v>0.10598</v>
      </c>
      <c r="I64" s="4">
        <f t="shared" si="48"/>
        <v>1.9990046643344994</v>
      </c>
      <c r="J64" s="4">
        <f t="shared" si="49"/>
        <v>6.0570269999999997</v>
      </c>
      <c r="K64" s="4">
        <f t="shared" si="50"/>
        <v>5.0870505980000003</v>
      </c>
      <c r="L64" s="4">
        <f t="shared" ref="L64:L72" si="52">J64-K64</f>
        <v>0.96997640199999946</v>
      </c>
      <c r="M64" s="4">
        <f t="shared" si="51"/>
        <v>0.83985932339413383</v>
      </c>
      <c r="N64" s="6">
        <v>450</v>
      </c>
    </row>
    <row r="65" spans="2:16" x14ac:dyDescent="0.25">
      <c r="B65" s="6">
        <v>0.124</v>
      </c>
      <c r="C65" s="11" t="s">
        <v>60</v>
      </c>
      <c r="D65" s="4" t="str">
        <f t="shared" si="47"/>
        <v>24,_48</v>
      </c>
      <c r="E65" s="7">
        <v>24.0047</v>
      </c>
      <c r="F65" s="7">
        <v>0.49299999999999999</v>
      </c>
      <c r="G65" s="7">
        <v>48.08</v>
      </c>
      <c r="H65" s="7">
        <v>0.21929999999999999</v>
      </c>
      <c r="I65" s="4">
        <f t="shared" si="48"/>
        <v>2.0029410907030707</v>
      </c>
      <c r="J65" s="4">
        <f t="shared" si="49"/>
        <v>11.8343171</v>
      </c>
      <c r="K65" s="4">
        <f t="shared" si="50"/>
        <v>10.543944</v>
      </c>
      <c r="L65" s="4">
        <f t="shared" si="52"/>
        <v>1.2903731000000001</v>
      </c>
      <c r="M65" s="4">
        <f t="shared" si="51"/>
        <v>0.89096345069205551</v>
      </c>
      <c r="N65" s="6">
        <v>220</v>
      </c>
    </row>
    <row r="66" spans="2:16" x14ac:dyDescent="0.25">
      <c r="B66" s="6">
        <v>0.16800000000000001</v>
      </c>
      <c r="C66" s="11" t="s">
        <v>60</v>
      </c>
      <c r="D66" s="4" t="str">
        <f t="shared" si="47"/>
        <v>24,_48</v>
      </c>
      <c r="E66" s="7">
        <v>24.017600000000002</v>
      </c>
      <c r="F66" s="7">
        <v>0.88646999999999998</v>
      </c>
      <c r="G66" s="7">
        <v>48.036999999999999</v>
      </c>
      <c r="H66" s="7">
        <v>0.39901999999999999</v>
      </c>
      <c r="I66" s="4">
        <f t="shared" si="48"/>
        <v>2.0000749450403035</v>
      </c>
      <c r="J66" s="4">
        <f t="shared" si="49"/>
        <v>21.290881872</v>
      </c>
      <c r="K66" s="4">
        <f t="shared" si="50"/>
        <v>19.16772374</v>
      </c>
      <c r="L66" s="4">
        <f t="shared" si="52"/>
        <v>2.1231581320000004</v>
      </c>
      <c r="M66" s="4">
        <f t="shared" si="51"/>
        <v>0.90027852557896149</v>
      </c>
      <c r="N66" s="6">
        <v>120</v>
      </c>
    </row>
    <row r="67" spans="2:16" x14ac:dyDescent="0.25">
      <c r="B67" s="6">
        <v>0.20930000000000001</v>
      </c>
      <c r="C67" s="11" t="s">
        <v>60</v>
      </c>
      <c r="D67" s="4" t="str">
        <f t="shared" si="47"/>
        <v>24,_48</v>
      </c>
      <c r="E67" s="7">
        <v>24.006</v>
      </c>
      <c r="F67" s="7">
        <v>1.3697600000000001</v>
      </c>
      <c r="G67" s="7">
        <v>48.03</v>
      </c>
      <c r="H67" s="7">
        <v>0.62190999999999996</v>
      </c>
      <c r="I67" s="4">
        <f t="shared" si="48"/>
        <v>2.0007498125468635</v>
      </c>
      <c r="J67" s="4">
        <f t="shared" si="49"/>
        <v>32.882458560000003</v>
      </c>
      <c r="K67" s="4">
        <f t="shared" si="50"/>
        <v>29.870337299999999</v>
      </c>
      <c r="L67" s="4">
        <f t="shared" si="52"/>
        <v>3.0121212600000042</v>
      </c>
      <c r="M67" s="4">
        <f t="shared" si="51"/>
        <v>0.90839732210096624</v>
      </c>
      <c r="N67" s="6">
        <v>77</v>
      </c>
      <c r="O67" s="12" t="str">
        <f>C67&amp;"_"&amp;TEXT(B67,"0,####")&amp;"_"&amp;TEXT(ROUND(E67,3),"#,#")&amp;"_"&amp;TEXT(G67,"0")&amp;"_"&amp;TEXT(ROUND(K67,1),"0,##")</f>
        <v>dcm_0,2093_24,_48_29,9</v>
      </c>
    </row>
    <row r="68" spans="2:16" x14ac:dyDescent="0.25">
      <c r="B68" s="6">
        <v>0.25030000000000002</v>
      </c>
      <c r="C68" s="11" t="s">
        <v>62</v>
      </c>
      <c r="D68" s="4" t="str">
        <f t="shared" si="47"/>
        <v>24,_48</v>
      </c>
      <c r="E68" s="7">
        <v>24.0197</v>
      </c>
      <c r="F68" s="7">
        <v>2.2743000000000002</v>
      </c>
      <c r="G68" s="7">
        <v>48.030999999999999</v>
      </c>
      <c r="H68" s="7">
        <v>1.0438400000000001</v>
      </c>
      <c r="I68" s="4">
        <f t="shared" si="48"/>
        <v>1.9996502870560415</v>
      </c>
      <c r="J68" s="4">
        <f t="shared" si="49"/>
        <v>54.628003710000009</v>
      </c>
      <c r="K68" s="4">
        <f t="shared" si="50"/>
        <v>50.136679040000004</v>
      </c>
      <c r="L68" s="4">
        <f t="shared" si="52"/>
        <v>4.4913246700000045</v>
      </c>
      <c r="M68" s="4">
        <f t="shared" si="51"/>
        <v>0.91778347431762664</v>
      </c>
      <c r="N68" s="6">
        <v>46</v>
      </c>
      <c r="O68" s="12" t="str">
        <f>C68&amp;"_"&amp;TEXT(B68,"0,####")&amp;"_"&amp;TEXT(ROUND(E68,3),"#,#")&amp;"_"&amp;TEXT(G68,"0")&amp;"_"&amp;TEXT(ROUND(K68,1),"0,##")</f>
        <v>ccm_0,2503_24,_48_50,1</v>
      </c>
    </row>
    <row r="69" spans="2:16" x14ac:dyDescent="0.25">
      <c r="B69" s="6">
        <v>0.25159999999999999</v>
      </c>
      <c r="C69" s="11" t="s">
        <v>62</v>
      </c>
      <c r="D69" s="4" t="str">
        <f t="shared" si="47"/>
        <v>24,_48</v>
      </c>
      <c r="E69" s="7">
        <v>24.0044</v>
      </c>
      <c r="F69" s="7">
        <v>3.17299</v>
      </c>
      <c r="G69" s="7">
        <v>48.057000000000002</v>
      </c>
      <c r="H69" s="7">
        <v>1.4614</v>
      </c>
      <c r="I69" s="4">
        <f t="shared" si="48"/>
        <v>2.0020079652063787</v>
      </c>
      <c r="J69" s="4">
        <f t="shared" si="49"/>
        <v>76.165721156000004</v>
      </c>
      <c r="K69" s="4">
        <f t="shared" si="50"/>
        <v>70.230499800000004</v>
      </c>
      <c r="L69" s="4">
        <f t="shared" si="52"/>
        <v>5.9352213559999996</v>
      </c>
      <c r="M69" s="4">
        <f t="shared" si="51"/>
        <v>0.92207490107204937</v>
      </c>
      <c r="N69" s="6">
        <v>33</v>
      </c>
    </row>
    <row r="70" spans="2:16" x14ac:dyDescent="0.25">
      <c r="B70" s="6">
        <v>0.253</v>
      </c>
      <c r="C70" s="11" t="s">
        <v>62</v>
      </c>
      <c r="D70" s="4" t="str">
        <f t="shared" si="47"/>
        <v>24,_48</v>
      </c>
      <c r="E70" s="7">
        <v>24.016999999999999</v>
      </c>
      <c r="F70" s="7">
        <v>4.2119999999999997</v>
      </c>
      <c r="G70" s="7">
        <v>48.030999999999999</v>
      </c>
      <c r="H70" s="7">
        <v>1.93486</v>
      </c>
      <c r="I70" s="4">
        <f t="shared" ref="I70" si="53">G70/E70</f>
        <v>1.999875088478994</v>
      </c>
      <c r="J70" s="4">
        <f t="shared" ref="J70" si="54">F70*E70</f>
        <v>101.15960399999999</v>
      </c>
      <c r="K70" s="4">
        <f t="shared" ref="K70" si="55">H70*G70</f>
        <v>92.933260660000002</v>
      </c>
      <c r="L70" s="4">
        <f t="shared" ref="L70" si="56">J70-K70</f>
        <v>8.2263433399999855</v>
      </c>
      <c r="M70" s="4">
        <f t="shared" ref="M70" si="57">K70/J70</f>
        <v>0.9186795616558564</v>
      </c>
      <c r="N70" s="6">
        <v>25</v>
      </c>
      <c r="O70" s="12" t="str">
        <f>C70&amp;"_"&amp;TEXT(B70,"0,####")&amp;"_"&amp;TEXT(ROUND(E70,3),"#,")&amp;"_"&amp;TEXT(G70,"0")&amp;"_"&amp;TEXT(ROUND(K70,1),"0,##")</f>
        <v>ccm_0,253_24,_48_92,9</v>
      </c>
      <c r="P70" s="16" t="s">
        <v>85</v>
      </c>
    </row>
    <row r="71" spans="2:16" x14ac:dyDescent="0.25">
      <c r="B71" s="6">
        <v>0.25319999999999998</v>
      </c>
      <c r="C71" s="11" t="s">
        <v>62</v>
      </c>
      <c r="D71" s="4" t="str">
        <f t="shared" si="47"/>
        <v>24,_48</v>
      </c>
      <c r="E71" s="7">
        <v>24.013999999999999</v>
      </c>
      <c r="F71" s="7">
        <v>4.5243000000000002</v>
      </c>
      <c r="G71" s="7">
        <v>48.042000000000002</v>
      </c>
      <c r="H71" s="7">
        <v>2.08588</v>
      </c>
      <c r="I71" s="4">
        <f t="shared" si="48"/>
        <v>2.0005829932539352</v>
      </c>
      <c r="J71" s="4">
        <f t="shared" si="49"/>
        <v>108.6465402</v>
      </c>
      <c r="K71" s="4">
        <f t="shared" si="50"/>
        <v>100.20984696000001</v>
      </c>
      <c r="L71" s="4">
        <f t="shared" si="52"/>
        <v>8.4366932399999968</v>
      </c>
      <c r="M71" s="4">
        <f t="shared" si="51"/>
        <v>0.92234733637657063</v>
      </c>
      <c r="N71" s="6">
        <v>23</v>
      </c>
      <c r="O71" s="12" t="str">
        <f>C71&amp;"_"&amp;TEXT(B71,"0,####")&amp;"_"&amp;TEXT(ROUND(E71,3),"#,#")&amp;"_"&amp;TEXT(G71,"0")&amp;"_"&amp;TEXT(ROUND(K71,1),"0,##")</f>
        <v>ccm_0,2532_24,_48_100,2</v>
      </c>
    </row>
    <row r="72" spans="2:16" x14ac:dyDescent="0.25">
      <c r="B72" s="6">
        <v>0.25480000000000003</v>
      </c>
      <c r="C72" s="11" t="s">
        <v>62</v>
      </c>
      <c r="D72" s="4" t="str">
        <f t="shared" si="47"/>
        <v>24,_48</v>
      </c>
      <c r="E72" s="7">
        <v>24.027999999999999</v>
      </c>
      <c r="F72" s="7">
        <v>6.0682</v>
      </c>
      <c r="G72" s="7">
        <v>48.091999999999999</v>
      </c>
      <c r="H72" s="7">
        <v>2.78945</v>
      </c>
      <c r="I72" s="4">
        <f t="shared" si="48"/>
        <v>2.0014982520392874</v>
      </c>
      <c r="J72" s="4">
        <f t="shared" si="49"/>
        <v>145.8067096</v>
      </c>
      <c r="K72" s="4">
        <f t="shared" si="50"/>
        <v>134.1502294</v>
      </c>
      <c r="L72" s="4">
        <f t="shared" si="52"/>
        <v>11.656480200000004</v>
      </c>
      <c r="M72" s="4">
        <f t="shared" si="51"/>
        <v>0.92005525512524144</v>
      </c>
      <c r="N72" s="6">
        <v>17.2</v>
      </c>
      <c r="O72" s="12" t="str">
        <f>C72&amp;"_"&amp;TEXT(B72,"0,####")&amp;"_"&amp;TEXT(ROUND(E72,3),"#,#")&amp;"_"&amp;TEXT(G72,"0")&amp;"_"&amp;TEXT(ROUND(K72,1),"0,##")</f>
        <v>ccm_0,2548_24,_48_134,2</v>
      </c>
    </row>
    <row r="73" spans="2:16" x14ac:dyDescent="0.25">
      <c r="C73" s="11"/>
      <c r="D73" s="4"/>
      <c r="E73" s="7"/>
      <c r="F73" s="7"/>
      <c r="G73" s="7"/>
      <c r="H73" s="7"/>
      <c r="I73" s="4"/>
      <c r="J73" s="4"/>
      <c r="K73" s="4"/>
      <c r="L73" s="4"/>
      <c r="M73" s="4"/>
    </row>
    <row r="74" spans="2:16" x14ac:dyDescent="0.25">
      <c r="C74" s="11"/>
      <c r="D74" s="4"/>
      <c r="E74" s="7"/>
      <c r="F74" s="7"/>
      <c r="G74" s="7"/>
      <c r="H74" s="7"/>
      <c r="I74" s="4"/>
      <c r="J74" s="4"/>
      <c r="K74" s="4"/>
      <c r="L74" s="4"/>
      <c r="M74" s="4"/>
    </row>
    <row r="75" spans="2:16" x14ac:dyDescent="0.25">
      <c r="C75" s="11"/>
      <c r="D75" s="4"/>
      <c r="E75" s="7"/>
      <c r="F75" s="7"/>
      <c r="G75" s="7"/>
      <c r="H75" s="7"/>
      <c r="I75" s="4"/>
      <c r="J75" s="4"/>
      <c r="K75" s="4"/>
      <c r="L75" s="4"/>
      <c r="M75" s="4"/>
    </row>
    <row r="76" spans="2:16" x14ac:dyDescent="0.25">
      <c r="C76" s="11"/>
      <c r="D76" s="4"/>
      <c r="E76" s="7"/>
      <c r="F76" s="7"/>
      <c r="G76" s="7"/>
      <c r="H76" s="7"/>
      <c r="I76" s="4"/>
      <c r="J76" s="4"/>
      <c r="K76" s="4"/>
      <c r="L76" s="4"/>
      <c r="M76" s="4"/>
    </row>
    <row r="77" spans="2:16" x14ac:dyDescent="0.25">
      <c r="C77" s="11"/>
      <c r="D77" s="4"/>
      <c r="E77" s="7"/>
      <c r="F77" s="7"/>
      <c r="G77" s="7"/>
      <c r="H77" s="7"/>
      <c r="I77" s="4"/>
      <c r="J77" s="4"/>
      <c r="K77" s="4"/>
      <c r="L77" s="4"/>
      <c r="M77" s="4"/>
    </row>
    <row r="79" spans="2:16" x14ac:dyDescent="0.25">
      <c r="C79" s="11"/>
      <c r="D79" s="4"/>
      <c r="E79" s="7"/>
      <c r="F79" s="7"/>
      <c r="G79" s="7"/>
      <c r="H79" s="7"/>
      <c r="I79" s="4"/>
      <c r="J79" s="4"/>
      <c r="K79" s="4"/>
      <c r="L79" s="4"/>
      <c r="M79" s="4"/>
    </row>
    <row r="80" spans="2:16" x14ac:dyDescent="0.25">
      <c r="C80" s="11"/>
      <c r="D80" s="4"/>
      <c r="E80" s="7"/>
      <c r="F80" s="7"/>
      <c r="G80" s="7"/>
      <c r="H80" s="7"/>
      <c r="I80" s="4"/>
      <c r="J80" s="4"/>
      <c r="K80" s="4"/>
      <c r="L80" s="4"/>
      <c r="M80" s="4"/>
    </row>
    <row r="81" spans="3:13" x14ac:dyDescent="0.25">
      <c r="C81" s="11"/>
      <c r="D81" s="4"/>
      <c r="E81" s="7"/>
      <c r="F81" s="7"/>
      <c r="G81" s="7"/>
      <c r="H81" s="7"/>
      <c r="I81" s="4"/>
      <c r="J81" s="4"/>
      <c r="K81" s="4"/>
      <c r="L81" s="4"/>
      <c r="M81" s="4"/>
    </row>
    <row r="82" spans="3:13" x14ac:dyDescent="0.25">
      <c r="C82" s="11"/>
      <c r="D82" s="4"/>
      <c r="E82" s="7"/>
      <c r="F82" s="7"/>
      <c r="G82" s="7"/>
      <c r="H82" s="7"/>
      <c r="I82" s="4"/>
      <c r="J82" s="4"/>
      <c r="K82" s="4"/>
      <c r="L82" s="4"/>
      <c r="M82" s="4"/>
    </row>
    <row r="83" spans="3:13" x14ac:dyDescent="0.25">
      <c r="C83" s="11"/>
      <c r="D83" s="4"/>
      <c r="E83" s="7"/>
      <c r="F83" s="7"/>
      <c r="G83" s="7"/>
      <c r="H83" s="7"/>
      <c r="I83" s="4"/>
      <c r="J83" s="4"/>
      <c r="K83" s="4"/>
      <c r="L83" s="4"/>
      <c r="M83" s="4"/>
    </row>
    <row r="84" spans="3:13" x14ac:dyDescent="0.25">
      <c r="C84" s="11"/>
      <c r="D84" s="4"/>
      <c r="E84" s="7"/>
      <c r="F84" s="7"/>
      <c r="G84" s="7"/>
      <c r="H84" s="7"/>
      <c r="I84" s="4"/>
      <c r="J84" s="4"/>
      <c r="K84" s="4"/>
      <c r="L84" s="4"/>
      <c r="M84" s="4"/>
    </row>
    <row r="86" spans="3:13" x14ac:dyDescent="0.25">
      <c r="C86" s="11"/>
      <c r="D86" s="4"/>
      <c r="E86" s="7"/>
      <c r="F86" s="7"/>
      <c r="G86" s="7"/>
      <c r="H86" s="7"/>
      <c r="I86" s="4"/>
      <c r="J86" s="4"/>
      <c r="K86" s="4"/>
      <c r="L86" s="4"/>
      <c r="M86" s="4"/>
    </row>
    <row r="87" spans="3:13" x14ac:dyDescent="0.25">
      <c r="C87" s="11"/>
      <c r="D87" s="4"/>
      <c r="E87" s="7"/>
      <c r="F87" s="7"/>
      <c r="G87" s="7"/>
      <c r="H87" s="7"/>
      <c r="I87" s="4"/>
      <c r="J87" s="4"/>
      <c r="K87" s="4"/>
      <c r="L87" s="4"/>
      <c r="M87" s="4"/>
    </row>
    <row r="88" spans="3:13" x14ac:dyDescent="0.25">
      <c r="C88" s="11"/>
      <c r="D88" s="4"/>
      <c r="E88" s="7"/>
      <c r="F88" s="7"/>
      <c r="G88" s="7"/>
      <c r="H88" s="7"/>
      <c r="I88" s="4"/>
      <c r="J88" s="4"/>
      <c r="K88" s="4"/>
      <c r="L88" s="4"/>
      <c r="M88" s="4"/>
    </row>
    <row r="89" spans="3:13" x14ac:dyDescent="0.25">
      <c r="C89" s="11"/>
      <c r="D89" s="4"/>
      <c r="E89" s="7"/>
      <c r="F89" s="7"/>
      <c r="G89" s="7"/>
      <c r="H89" s="7"/>
      <c r="I89" s="4"/>
      <c r="J89" s="4"/>
      <c r="K89" s="4"/>
      <c r="L89" s="4"/>
      <c r="M89" s="4"/>
    </row>
    <row r="90" spans="3:13" x14ac:dyDescent="0.25">
      <c r="C90" s="11"/>
      <c r="D90" s="4"/>
      <c r="E90" s="7"/>
      <c r="F90" s="7"/>
      <c r="G90" s="7"/>
      <c r="H90" s="7"/>
      <c r="I90" s="4"/>
      <c r="J90" s="4"/>
      <c r="K90" s="4"/>
      <c r="L90" s="4"/>
      <c r="M90" s="4"/>
    </row>
    <row r="92" spans="3:13" x14ac:dyDescent="0.25">
      <c r="C92" s="11"/>
      <c r="D92" s="4"/>
      <c r="E92" s="7"/>
      <c r="F92" s="7"/>
      <c r="G92" s="7"/>
      <c r="H92" s="7"/>
      <c r="I92" s="4"/>
      <c r="J92" s="4"/>
      <c r="K92" s="4"/>
      <c r="L92" s="4"/>
      <c r="M92" s="4"/>
    </row>
    <row r="93" spans="3:13" x14ac:dyDescent="0.25">
      <c r="C93" s="11"/>
      <c r="D93" s="4"/>
      <c r="E93" s="7"/>
      <c r="F93" s="7"/>
      <c r="G93" s="7"/>
      <c r="H93" s="7"/>
      <c r="I93" s="4"/>
      <c r="J93" s="4"/>
      <c r="K93" s="4"/>
      <c r="L93" s="4"/>
      <c r="M93" s="4"/>
    </row>
    <row r="94" spans="3:13" x14ac:dyDescent="0.25">
      <c r="C94" s="11"/>
      <c r="D94" s="4"/>
      <c r="E94" s="7"/>
      <c r="F94" s="7"/>
      <c r="G94" s="7"/>
      <c r="H94" s="7"/>
      <c r="I94" s="4"/>
      <c r="J94" s="4"/>
      <c r="K94" s="4"/>
      <c r="L94" s="4"/>
      <c r="M94" s="4"/>
    </row>
    <row r="95" spans="3:13" x14ac:dyDescent="0.25">
      <c r="C95" s="11"/>
      <c r="D95" s="4"/>
      <c r="E95" s="7"/>
      <c r="F95" s="7"/>
      <c r="G95" s="7"/>
      <c r="H95" s="7"/>
      <c r="I95" s="4"/>
      <c r="J95" s="4"/>
      <c r="K95" s="4"/>
      <c r="L95" s="4"/>
      <c r="M95" s="4"/>
    </row>
    <row r="96" spans="3:13" x14ac:dyDescent="0.25">
      <c r="C96" s="11"/>
      <c r="D96" s="4"/>
      <c r="E96" s="7"/>
      <c r="F96" s="7"/>
      <c r="G96" s="7"/>
      <c r="H96" s="7"/>
      <c r="I96" s="4"/>
      <c r="J96" s="4"/>
      <c r="K96" s="4"/>
      <c r="L96" s="4"/>
      <c r="M96" s="4"/>
    </row>
    <row r="97" spans="3:13" x14ac:dyDescent="0.25">
      <c r="C97" s="11"/>
      <c r="D97" s="4"/>
      <c r="E97" s="7"/>
      <c r="F97" s="7"/>
      <c r="G97" s="7"/>
      <c r="H97" s="7"/>
      <c r="I97" s="4"/>
      <c r="J97" s="4"/>
      <c r="K97" s="4"/>
      <c r="L97" s="4"/>
      <c r="M97" s="4"/>
    </row>
    <row r="98" spans="3:13" x14ac:dyDescent="0.25">
      <c r="C98" s="11"/>
      <c r="D98" s="4"/>
      <c r="E98" s="7"/>
      <c r="F98" s="7"/>
      <c r="G98" s="7"/>
      <c r="H98" s="7"/>
      <c r="I98" s="4"/>
      <c r="J98" s="4"/>
      <c r="K98" s="4"/>
      <c r="L98" s="4"/>
      <c r="M98" s="4"/>
    </row>
    <row r="99" spans="3:13" x14ac:dyDescent="0.25">
      <c r="C99" s="11"/>
      <c r="D99" s="4"/>
      <c r="E99" s="7"/>
      <c r="F99" s="7"/>
      <c r="G99" s="7"/>
      <c r="H99" s="7"/>
      <c r="I99" s="4"/>
      <c r="J99" s="4"/>
      <c r="K99" s="4"/>
      <c r="L99" s="4"/>
      <c r="M99" s="4"/>
    </row>
    <row r="100" spans="3:13" x14ac:dyDescent="0.25">
      <c r="C100" s="11"/>
      <c r="D100" s="4"/>
      <c r="E100" s="7"/>
      <c r="F100" s="7"/>
      <c r="G100" s="7"/>
      <c r="H100" s="7"/>
      <c r="I100" s="4"/>
      <c r="J100" s="4"/>
      <c r="K100" s="4"/>
      <c r="L100" s="4"/>
      <c r="M100" s="4"/>
    </row>
    <row r="101" spans="3:13" x14ac:dyDescent="0.25">
      <c r="C101" s="11"/>
      <c r="D101" s="4"/>
      <c r="E101" s="7"/>
      <c r="F101" s="7"/>
      <c r="G101" s="7"/>
      <c r="H101" s="7"/>
      <c r="I101" s="4"/>
      <c r="J101" s="4"/>
      <c r="K101" s="4"/>
      <c r="L101" s="4"/>
      <c r="M101" s="4"/>
    </row>
    <row r="102" spans="3:13" x14ac:dyDescent="0.25">
      <c r="C102" s="11"/>
      <c r="D102" s="4"/>
      <c r="E102" s="7"/>
      <c r="F102" s="7"/>
      <c r="G102" s="7"/>
      <c r="H102" s="7"/>
      <c r="I102" s="4"/>
      <c r="J102" s="4"/>
      <c r="K102" s="4"/>
      <c r="L102" s="4"/>
      <c r="M102" s="4"/>
    </row>
    <row r="103" spans="3:13" x14ac:dyDescent="0.25">
      <c r="C103" s="11"/>
      <c r="D103" s="4"/>
      <c r="E103" s="7"/>
      <c r="F103" s="7"/>
      <c r="G103" s="7"/>
      <c r="H103" s="7"/>
      <c r="I103" s="4"/>
      <c r="J103" s="4"/>
      <c r="K103" s="4"/>
      <c r="L103" s="4"/>
      <c r="M103" s="4"/>
    </row>
    <row r="104" spans="3:13" x14ac:dyDescent="0.25">
      <c r="C104" s="11"/>
      <c r="D104" s="4"/>
      <c r="E104" s="7"/>
      <c r="F104" s="7"/>
      <c r="G104" s="7"/>
      <c r="H104" s="7"/>
      <c r="I104" s="4"/>
      <c r="J104" s="4"/>
      <c r="K104" s="4"/>
      <c r="L104" s="4"/>
      <c r="M104" s="4"/>
    </row>
    <row r="105" spans="3:13" x14ac:dyDescent="0.25">
      <c r="C105" s="11"/>
      <c r="D105" s="4"/>
      <c r="E105" s="7"/>
      <c r="F105" s="7"/>
      <c r="G105" s="7"/>
      <c r="H105" s="7"/>
      <c r="I105" s="4"/>
      <c r="J105" s="4"/>
      <c r="K105" s="4"/>
      <c r="L105" s="4"/>
      <c r="M105" s="4"/>
    </row>
    <row r="106" spans="3:13" x14ac:dyDescent="0.25">
      <c r="C106" s="11"/>
      <c r="D106" s="4"/>
      <c r="E106" s="7"/>
      <c r="F106" s="7"/>
      <c r="G106" s="7"/>
      <c r="H106" s="7"/>
      <c r="I106" s="4"/>
      <c r="J106" s="4"/>
      <c r="K106" s="4"/>
      <c r="L106" s="4"/>
      <c r="M106" s="4"/>
    </row>
    <row r="107" spans="3:13" x14ac:dyDescent="0.25">
      <c r="C107" s="11"/>
      <c r="D107" s="4"/>
      <c r="E107" s="7"/>
      <c r="F107" s="7"/>
      <c r="G107" s="7"/>
      <c r="H107" s="7"/>
      <c r="I107" s="4"/>
      <c r="J107" s="4"/>
      <c r="K107" s="4"/>
      <c r="L107" s="4"/>
      <c r="M107" s="4"/>
    </row>
    <row r="108" spans="3:13" x14ac:dyDescent="0.25">
      <c r="C108" s="11"/>
      <c r="D108" s="4"/>
      <c r="E108" s="7"/>
      <c r="F108" s="7"/>
      <c r="G108" s="7"/>
      <c r="H108" s="7"/>
      <c r="I108" s="4"/>
      <c r="J108" s="4"/>
      <c r="K108" s="4"/>
      <c r="L108" s="4"/>
      <c r="M108" s="4"/>
    </row>
    <row r="109" spans="3:13" x14ac:dyDescent="0.25">
      <c r="C109" s="11"/>
      <c r="D109" s="4"/>
      <c r="E109" s="7"/>
      <c r="F109" s="7"/>
      <c r="G109" s="7"/>
      <c r="H109" s="7"/>
      <c r="I109" s="4"/>
      <c r="J109" s="4"/>
      <c r="K109" s="4"/>
      <c r="L109" s="4"/>
      <c r="M109" s="4"/>
    </row>
    <row r="110" spans="3:13" x14ac:dyDescent="0.25">
      <c r="C110" s="11"/>
      <c r="D110" s="4"/>
      <c r="E110" s="7"/>
      <c r="F110" s="7"/>
      <c r="G110" s="7"/>
      <c r="H110" s="7"/>
      <c r="I110" s="4"/>
      <c r="J110" s="4"/>
      <c r="K110" s="4"/>
      <c r="L110" s="4"/>
      <c r="M110" s="4"/>
    </row>
    <row r="111" spans="3:13" x14ac:dyDescent="0.25">
      <c r="C111" s="11"/>
      <c r="D111" s="4"/>
      <c r="E111" s="7"/>
      <c r="F111" s="7"/>
      <c r="G111" s="7"/>
      <c r="H111" s="7"/>
      <c r="I111" s="4"/>
      <c r="J111" s="4"/>
      <c r="K111" s="4"/>
      <c r="L111" s="4"/>
      <c r="M111" s="4"/>
    </row>
    <row r="112" spans="3:13" x14ac:dyDescent="0.25">
      <c r="C112" s="11"/>
      <c r="D112" s="4"/>
      <c r="E112" s="7"/>
      <c r="F112" s="7"/>
      <c r="G112" s="7"/>
      <c r="H112" s="7"/>
      <c r="I112" s="4"/>
      <c r="J112" s="4"/>
      <c r="K112" s="4"/>
      <c r="L112" s="4"/>
      <c r="M112" s="4"/>
    </row>
    <row r="114" spans="3:13" x14ac:dyDescent="0.25">
      <c r="C114" s="11"/>
      <c r="D114" s="4"/>
      <c r="E114" s="7"/>
      <c r="F114" s="7"/>
      <c r="G114" s="7"/>
      <c r="H114" s="7"/>
      <c r="I114" s="4"/>
      <c r="J114" s="4"/>
      <c r="K114" s="4"/>
      <c r="L114" s="4"/>
      <c r="M114" s="4"/>
    </row>
    <row r="115" spans="3:13" x14ac:dyDescent="0.25">
      <c r="C115" s="11"/>
      <c r="D115" s="4"/>
      <c r="E115" s="7"/>
      <c r="F115" s="7"/>
      <c r="G115" s="7"/>
      <c r="H115" s="7"/>
      <c r="I115" s="4"/>
      <c r="J115" s="4"/>
      <c r="K115" s="4"/>
      <c r="L115" s="4"/>
      <c r="M115" s="4"/>
    </row>
    <row r="116" spans="3:13" x14ac:dyDescent="0.25">
      <c r="C116" s="11"/>
      <c r="D116" s="4"/>
      <c r="E116" s="7"/>
      <c r="F116" s="7"/>
      <c r="G116" s="7"/>
      <c r="H116" s="7"/>
      <c r="I116" s="4"/>
      <c r="J116" s="4"/>
      <c r="K116" s="4"/>
      <c r="L116" s="4"/>
      <c r="M116" s="4"/>
    </row>
    <row r="117" spans="3:13" x14ac:dyDescent="0.25">
      <c r="C117" s="11"/>
      <c r="D117" s="4"/>
      <c r="E117" s="7"/>
      <c r="F117" s="7"/>
      <c r="G117" s="7"/>
      <c r="H117" s="7"/>
      <c r="I117" s="4"/>
      <c r="J117" s="4"/>
      <c r="K117" s="4"/>
      <c r="L117" s="4"/>
      <c r="M117" s="4"/>
    </row>
    <row r="118" spans="3:13" x14ac:dyDescent="0.25">
      <c r="C118" s="11"/>
      <c r="D118" s="4"/>
      <c r="E118" s="7"/>
      <c r="F118" s="7"/>
      <c r="G118" s="7"/>
      <c r="H118" s="7"/>
      <c r="I118" s="4"/>
      <c r="J118" s="4"/>
      <c r="K118" s="4"/>
      <c r="L118" s="4"/>
      <c r="M118" s="4"/>
    </row>
    <row r="120" spans="3:13" x14ac:dyDescent="0.25">
      <c r="C120" s="11"/>
      <c r="D120" s="4"/>
      <c r="E120" s="7"/>
      <c r="F120" s="7"/>
      <c r="G120" s="7"/>
      <c r="H120" s="7"/>
      <c r="I120" s="4"/>
      <c r="J120" s="4"/>
      <c r="K120" s="4"/>
      <c r="L120" s="4"/>
      <c r="M120" s="4"/>
    </row>
    <row r="121" spans="3:13" x14ac:dyDescent="0.25">
      <c r="C121" s="11"/>
      <c r="D121" s="4"/>
      <c r="E121" s="7"/>
      <c r="F121" s="7"/>
      <c r="G121" s="7"/>
      <c r="H121" s="7"/>
      <c r="I121" s="4"/>
      <c r="J121" s="4"/>
      <c r="K121" s="4"/>
      <c r="L121" s="4"/>
      <c r="M121" s="4"/>
    </row>
    <row r="122" spans="3:13" x14ac:dyDescent="0.25">
      <c r="C122" s="11"/>
      <c r="D122" s="4"/>
      <c r="E122" s="7"/>
      <c r="F122" s="7"/>
      <c r="G122" s="7"/>
      <c r="H122" s="7"/>
      <c r="I122" s="4"/>
      <c r="J122" s="4"/>
      <c r="K122" s="4"/>
      <c r="L122" s="4"/>
      <c r="M122" s="4"/>
    </row>
    <row r="123" spans="3:13" x14ac:dyDescent="0.25">
      <c r="C123" s="11"/>
      <c r="D123" s="4"/>
      <c r="E123" s="7"/>
      <c r="F123" s="7"/>
      <c r="G123" s="7"/>
      <c r="H123" s="7"/>
      <c r="I123" s="4"/>
      <c r="J123" s="4"/>
      <c r="K123" s="4"/>
      <c r="L123" s="4"/>
      <c r="M123" s="4"/>
    </row>
    <row r="124" spans="3:13" x14ac:dyDescent="0.25">
      <c r="C124" s="11"/>
      <c r="D124" s="4"/>
      <c r="E124" s="7"/>
      <c r="F124" s="7"/>
      <c r="G124" s="7"/>
      <c r="H124" s="7"/>
      <c r="I124" s="4"/>
      <c r="J124" s="4"/>
      <c r="K124" s="4"/>
      <c r="L124" s="4"/>
      <c r="M124" s="4"/>
    </row>
    <row r="125" spans="3:13" x14ac:dyDescent="0.25">
      <c r="C125" s="11"/>
      <c r="D125" s="4"/>
      <c r="E125" s="7"/>
      <c r="F125" s="7"/>
      <c r="G125" s="7"/>
      <c r="H125" s="7"/>
      <c r="I125" s="4"/>
      <c r="J125" s="4"/>
      <c r="K125" s="4"/>
      <c r="L125" s="4"/>
      <c r="M125" s="4"/>
    </row>
    <row r="126" spans="3:13" x14ac:dyDescent="0.25">
      <c r="C126" s="11"/>
      <c r="D126" s="4"/>
      <c r="E126" s="7"/>
      <c r="F126" s="7"/>
      <c r="G126" s="7"/>
      <c r="H126" s="7"/>
      <c r="I126" s="4"/>
      <c r="J126" s="4"/>
      <c r="K126" s="4"/>
      <c r="L126" s="4"/>
      <c r="M126" s="4"/>
    </row>
    <row r="127" spans="3:13" x14ac:dyDescent="0.25">
      <c r="C127" s="11"/>
      <c r="D127" s="4"/>
      <c r="E127" s="7"/>
      <c r="F127" s="7"/>
      <c r="G127" s="7"/>
      <c r="H127" s="7"/>
      <c r="I127" s="4"/>
      <c r="J127" s="4"/>
      <c r="K127" s="4"/>
      <c r="L127" s="4"/>
      <c r="M127" s="4"/>
    </row>
    <row r="128" spans="3:13" x14ac:dyDescent="0.25">
      <c r="C128" s="11"/>
      <c r="D128" s="4"/>
      <c r="E128" s="7"/>
      <c r="F128" s="7"/>
      <c r="G128" s="7"/>
      <c r="H128" s="7"/>
      <c r="I128" s="4"/>
      <c r="J128" s="4"/>
      <c r="K128" s="4"/>
      <c r="L128" s="4"/>
      <c r="M128" s="4"/>
    </row>
    <row r="130" spans="2:13" x14ac:dyDescent="0.25">
      <c r="C130" s="11"/>
      <c r="D130" s="4"/>
      <c r="E130" s="7"/>
      <c r="F130" s="7"/>
      <c r="G130" s="7"/>
      <c r="H130" s="7"/>
      <c r="I130" s="4"/>
      <c r="J130" s="4"/>
      <c r="K130" s="4"/>
      <c r="L130" s="4"/>
      <c r="M130" s="4"/>
    </row>
    <row r="131" spans="2:13" x14ac:dyDescent="0.25">
      <c r="C131" s="11"/>
      <c r="D131" s="4"/>
      <c r="E131" s="7"/>
      <c r="F131" s="7"/>
      <c r="G131" s="7"/>
      <c r="H131" s="7"/>
      <c r="I131" s="4"/>
      <c r="J131" s="4"/>
      <c r="K131" s="4"/>
      <c r="L131" s="4"/>
      <c r="M131" s="4"/>
    </row>
    <row r="132" spans="2:13" x14ac:dyDescent="0.25">
      <c r="C132" s="11"/>
      <c r="D132" s="4"/>
      <c r="E132" s="7"/>
      <c r="F132" s="7"/>
      <c r="G132" s="7"/>
      <c r="H132" s="7"/>
      <c r="I132" s="4"/>
      <c r="J132" s="4"/>
      <c r="K132" s="4"/>
      <c r="L132" s="4"/>
      <c r="M132" s="4"/>
    </row>
    <row r="133" spans="2:13" x14ac:dyDescent="0.25">
      <c r="C133" s="11"/>
      <c r="D133" s="4"/>
      <c r="E133" s="7"/>
      <c r="F133" s="7"/>
      <c r="G133" s="7"/>
      <c r="H133" s="7"/>
      <c r="I133" s="4"/>
      <c r="J133" s="4"/>
      <c r="K133" s="4"/>
      <c r="L133" s="4"/>
      <c r="M133" s="4"/>
    </row>
    <row r="135" spans="2:13" x14ac:dyDescent="0.25">
      <c r="B135" s="7"/>
      <c r="C135" s="11"/>
      <c r="D135" s="4"/>
      <c r="E135" s="7"/>
      <c r="F135" s="7"/>
      <c r="G135" s="7"/>
      <c r="H135" s="7"/>
      <c r="I135" s="4"/>
      <c r="J135" s="4"/>
      <c r="K135" s="4"/>
      <c r="L135" s="4"/>
      <c r="M135" s="4"/>
    </row>
    <row r="136" spans="2:13" x14ac:dyDescent="0.25">
      <c r="B136" s="7"/>
      <c r="C136" s="11"/>
      <c r="D136" s="4"/>
      <c r="E136" s="7"/>
      <c r="F136" s="7"/>
      <c r="G136" s="7"/>
      <c r="H136" s="7"/>
      <c r="I136" s="4"/>
      <c r="J136" s="4"/>
      <c r="K136" s="4"/>
      <c r="L136" s="4"/>
      <c r="M136" s="4"/>
    </row>
    <row r="137" spans="2:13" x14ac:dyDescent="0.25">
      <c r="B137" s="7"/>
      <c r="C137" s="11"/>
      <c r="D137" s="4"/>
      <c r="E137" s="7"/>
      <c r="F137" s="7"/>
      <c r="G137" s="7"/>
      <c r="H137" s="7"/>
      <c r="I137" s="4"/>
      <c r="J137" s="4"/>
      <c r="K137" s="4"/>
      <c r="L137" s="4"/>
      <c r="M137" s="4"/>
    </row>
    <row r="138" spans="2:13" x14ac:dyDescent="0.25">
      <c r="B138" s="7"/>
      <c r="C138" s="11"/>
      <c r="D138" s="4"/>
      <c r="E138" s="7"/>
      <c r="F138" s="7"/>
      <c r="G138" s="7"/>
      <c r="H138" s="7"/>
      <c r="I138" s="4"/>
      <c r="J138" s="4"/>
      <c r="K138" s="4"/>
      <c r="L138" s="4"/>
      <c r="M138" s="4"/>
    </row>
    <row r="139" spans="2:13" x14ac:dyDescent="0.25">
      <c r="B139" s="7"/>
      <c r="C139" s="11"/>
      <c r="D139" s="4"/>
      <c r="E139" s="7"/>
      <c r="F139" s="7"/>
      <c r="G139" s="7"/>
      <c r="H139" s="7"/>
      <c r="I139" s="4"/>
      <c r="J139" s="4"/>
      <c r="K139" s="4"/>
      <c r="L139" s="4"/>
      <c r="M139" s="4"/>
    </row>
    <row r="140" spans="2:13" x14ac:dyDescent="0.25">
      <c r="B140" s="7"/>
      <c r="C140" s="11"/>
      <c r="D140" s="4"/>
      <c r="E140" s="7"/>
      <c r="F140" s="7"/>
      <c r="G140" s="7"/>
      <c r="H140" s="7"/>
      <c r="I140" s="4"/>
      <c r="J140" s="4"/>
      <c r="K140" s="4"/>
      <c r="L140" s="4"/>
      <c r="M140" s="4"/>
    </row>
    <row r="142" spans="2:13" x14ac:dyDescent="0.25">
      <c r="B142" s="7"/>
      <c r="C142" s="11"/>
      <c r="D142" s="4"/>
      <c r="E142" s="7"/>
      <c r="F142" s="7"/>
      <c r="G142" s="7"/>
      <c r="H142" s="7"/>
      <c r="I142" s="4"/>
      <c r="J142" s="4"/>
      <c r="K142" s="4"/>
      <c r="L142" s="4"/>
      <c r="M142" s="4"/>
    </row>
    <row r="143" spans="2:13" x14ac:dyDescent="0.25">
      <c r="B143" s="7"/>
      <c r="C143" s="11"/>
      <c r="D143" s="4"/>
      <c r="E143" s="7"/>
      <c r="F143" s="7"/>
      <c r="G143" s="7"/>
      <c r="H143" s="7"/>
      <c r="I143" s="4"/>
      <c r="J143" s="4"/>
      <c r="K143" s="4"/>
      <c r="L143" s="4"/>
      <c r="M143" s="4"/>
    </row>
    <row r="144" spans="2:13" x14ac:dyDescent="0.25">
      <c r="B144" s="7"/>
      <c r="C144" s="11"/>
      <c r="D144" s="4"/>
      <c r="E144" s="7"/>
      <c r="F144" s="7"/>
      <c r="G144" s="7"/>
      <c r="H144" s="7"/>
      <c r="I144" s="4"/>
      <c r="J144" s="4"/>
      <c r="K144" s="4"/>
      <c r="L144" s="4"/>
      <c r="M144" s="4"/>
    </row>
    <row r="145" spans="2:13" x14ac:dyDescent="0.25">
      <c r="B145" s="7"/>
      <c r="C145" s="11"/>
      <c r="D145" s="4"/>
      <c r="E145" s="7"/>
      <c r="F145" s="7"/>
      <c r="G145" s="7"/>
      <c r="H145" s="7"/>
      <c r="I145" s="4"/>
      <c r="J145" s="4"/>
      <c r="K145" s="4"/>
      <c r="L145" s="4"/>
      <c r="M145" s="4"/>
    </row>
    <row r="146" spans="2:13" x14ac:dyDescent="0.25">
      <c r="B146" s="7"/>
      <c r="C146" s="11"/>
      <c r="D146" s="4"/>
      <c r="E146" s="7"/>
      <c r="F146" s="7"/>
      <c r="G146" s="7"/>
      <c r="H146" s="7"/>
      <c r="I146" s="4"/>
      <c r="J146" s="4"/>
      <c r="K146" s="4"/>
      <c r="L146" s="4"/>
      <c r="M146" s="4"/>
    </row>
    <row r="147" spans="2:13" x14ac:dyDescent="0.25">
      <c r="B147" s="7"/>
      <c r="C147" s="11"/>
      <c r="D147" s="4"/>
      <c r="E147" s="7"/>
      <c r="F147" s="7"/>
      <c r="G147" s="7"/>
      <c r="H147" s="7"/>
      <c r="I147" s="4"/>
      <c r="J147" s="4"/>
      <c r="K147" s="4"/>
      <c r="L147" s="4"/>
      <c r="M147" s="4"/>
    </row>
    <row r="148" spans="2:13" x14ac:dyDescent="0.25">
      <c r="B148" s="7"/>
      <c r="C148" s="11"/>
      <c r="D148" s="4"/>
      <c r="E148" s="7"/>
      <c r="F148" s="7"/>
      <c r="G148" s="7"/>
      <c r="H148" s="7"/>
      <c r="I148" s="4"/>
      <c r="J148" s="4"/>
      <c r="K148" s="4"/>
      <c r="L148" s="4"/>
      <c r="M148" s="4"/>
    </row>
    <row r="149" spans="2:13" x14ac:dyDescent="0.25">
      <c r="B149" s="7"/>
      <c r="C149" s="11"/>
      <c r="D149" s="4"/>
      <c r="E149" s="7"/>
      <c r="F149" s="7"/>
      <c r="G149" s="7"/>
      <c r="H149" s="7"/>
      <c r="I149" s="4"/>
      <c r="J149" s="4"/>
      <c r="K149" s="4"/>
      <c r="L149" s="4"/>
      <c r="M149" s="4"/>
    </row>
    <row r="150" spans="2:13" x14ac:dyDescent="0.25">
      <c r="B150" s="7"/>
      <c r="C150" s="11"/>
      <c r="D150" s="4"/>
      <c r="E150" s="7"/>
      <c r="F150" s="7"/>
      <c r="G150" s="7"/>
      <c r="H150" s="7"/>
      <c r="I150" s="4"/>
      <c r="J150" s="4"/>
      <c r="K150" s="4"/>
      <c r="L150" s="4"/>
      <c r="M150" s="4"/>
    </row>
    <row r="151" spans="2:13" x14ac:dyDescent="0.25">
      <c r="B151" s="7"/>
      <c r="C151" s="11"/>
      <c r="D151" s="4"/>
      <c r="E151" s="7"/>
      <c r="F151" s="7"/>
      <c r="G151" s="7"/>
      <c r="H151" s="7"/>
      <c r="I151" s="4"/>
      <c r="J151" s="4"/>
      <c r="K151" s="4"/>
      <c r="L151" s="4"/>
      <c r="M151" s="4"/>
    </row>
    <row r="152" spans="2:13" x14ac:dyDescent="0.25">
      <c r="B152" s="7"/>
      <c r="C152" s="11"/>
      <c r="D152" s="4"/>
      <c r="E152" s="7"/>
      <c r="F152" s="7"/>
      <c r="G152" s="7"/>
      <c r="H152" s="7"/>
      <c r="I152" s="4"/>
      <c r="J152" s="4"/>
      <c r="K152" s="4"/>
      <c r="L152" s="4"/>
      <c r="M152" s="4"/>
    </row>
    <row r="153" spans="2:13" x14ac:dyDescent="0.25">
      <c r="B153" s="7"/>
      <c r="C153" s="11"/>
      <c r="D153" s="4"/>
      <c r="E153" s="7"/>
      <c r="F153" s="7"/>
      <c r="G153" s="7"/>
      <c r="H153" s="7"/>
      <c r="I153" s="4"/>
      <c r="J153" s="4"/>
      <c r="K153" s="4"/>
      <c r="L153" s="4"/>
      <c r="M153" s="4"/>
    </row>
    <row r="154" spans="2:13" x14ac:dyDescent="0.25">
      <c r="B154" s="7"/>
      <c r="C154" s="11"/>
      <c r="D154" s="4"/>
      <c r="E154" s="7"/>
      <c r="F154" s="7"/>
      <c r="G154" s="7"/>
      <c r="H154" s="7"/>
      <c r="I154" s="4"/>
      <c r="J154" s="4"/>
      <c r="K154" s="4"/>
      <c r="L154" s="4"/>
      <c r="M154" s="4"/>
    </row>
    <row r="155" spans="2:13" x14ac:dyDescent="0.25">
      <c r="B155" s="7"/>
      <c r="C155" s="11"/>
      <c r="D155" s="4"/>
      <c r="E155" s="7"/>
      <c r="F155" s="7"/>
      <c r="G155" s="7"/>
      <c r="H155" s="7"/>
      <c r="I155" s="4"/>
      <c r="J155" s="4"/>
      <c r="K155" s="4"/>
      <c r="L155" s="4"/>
      <c r="M155" s="4"/>
    </row>
    <row r="157" spans="2:13" x14ac:dyDescent="0.25">
      <c r="B157" s="7"/>
      <c r="C157" s="11"/>
      <c r="D157" s="4"/>
      <c r="E157" s="7"/>
      <c r="F157" s="7"/>
      <c r="G157" s="7"/>
      <c r="H157" s="7"/>
      <c r="I157" s="4"/>
      <c r="J157" s="4"/>
      <c r="K157" s="4"/>
      <c r="L157" s="4"/>
      <c r="M157" s="4"/>
    </row>
    <row r="158" spans="2:13" x14ac:dyDescent="0.25">
      <c r="B158" s="7"/>
      <c r="C158" s="11"/>
      <c r="D158" s="4"/>
      <c r="E158" s="7"/>
      <c r="F158" s="7"/>
      <c r="G158" s="7"/>
      <c r="H158" s="7"/>
      <c r="I158" s="4"/>
      <c r="J158" s="4"/>
      <c r="K158" s="4"/>
      <c r="L158" s="4"/>
      <c r="M158" s="4"/>
    </row>
    <row r="159" spans="2:13" x14ac:dyDescent="0.25">
      <c r="B159" s="7"/>
      <c r="C159" s="11"/>
      <c r="D159" s="4"/>
      <c r="E159" s="7"/>
      <c r="F159" s="7"/>
      <c r="G159" s="7"/>
      <c r="H159" s="7"/>
      <c r="I159" s="4"/>
      <c r="J159" s="4"/>
      <c r="K159" s="4"/>
      <c r="L159" s="4"/>
      <c r="M159" s="4"/>
    </row>
    <row r="160" spans="2:13" x14ac:dyDescent="0.25">
      <c r="B160" s="7"/>
      <c r="C160" s="11"/>
      <c r="D160" s="4"/>
      <c r="E160" s="7"/>
      <c r="F160" s="7"/>
      <c r="G160" s="7"/>
      <c r="H160" s="7"/>
      <c r="I160" s="4"/>
      <c r="J160" s="4"/>
      <c r="K160" s="4"/>
      <c r="L160" s="4"/>
      <c r="M160" s="4"/>
    </row>
    <row r="161" spans="2:13" x14ac:dyDescent="0.25">
      <c r="B161" s="7"/>
      <c r="C161" s="11"/>
      <c r="D161" s="4"/>
      <c r="E161" s="7"/>
      <c r="F161" s="7"/>
      <c r="G161" s="7"/>
      <c r="H161" s="7"/>
      <c r="I161" s="4"/>
      <c r="J161" s="4"/>
      <c r="K161" s="4"/>
      <c r="L161" s="4"/>
      <c r="M161" s="4"/>
    </row>
    <row r="162" spans="2:13" x14ac:dyDescent="0.25">
      <c r="B162" s="7"/>
      <c r="C162" s="11"/>
      <c r="D162" s="4"/>
      <c r="E162" s="7"/>
      <c r="F162" s="7"/>
      <c r="G162" s="7"/>
      <c r="H162" s="7"/>
      <c r="I162" s="4"/>
      <c r="J162" s="4"/>
      <c r="K162" s="4"/>
      <c r="L162" s="4"/>
      <c r="M162" s="4"/>
    </row>
    <row r="163" spans="2:13" x14ac:dyDescent="0.25">
      <c r="B163" s="7"/>
      <c r="C163" s="11"/>
      <c r="D163" s="4"/>
      <c r="E163" s="7"/>
      <c r="F163" s="7"/>
      <c r="G163" s="7"/>
      <c r="H163" s="7"/>
      <c r="I163" s="4"/>
      <c r="J163" s="4"/>
      <c r="K163" s="4"/>
      <c r="L163" s="4"/>
      <c r="M163" s="4"/>
    </row>
    <row r="164" spans="2:13" x14ac:dyDescent="0.25">
      <c r="B164" s="7"/>
      <c r="C164" s="11"/>
      <c r="D164" s="4"/>
      <c r="F164" s="7"/>
      <c r="G164" s="7"/>
      <c r="H164" s="7"/>
      <c r="I164" s="4"/>
      <c r="J164" s="4"/>
      <c r="K164" s="4"/>
      <c r="L164" s="4"/>
      <c r="M164" s="4"/>
    </row>
    <row r="166" spans="2:13" x14ac:dyDescent="0.25">
      <c r="B166" s="7"/>
      <c r="C166" s="11"/>
      <c r="D166" s="4"/>
      <c r="E166" s="7"/>
      <c r="F166" s="7"/>
      <c r="G166" s="7"/>
      <c r="H166" s="7"/>
      <c r="I166" s="4"/>
      <c r="J166" s="4"/>
      <c r="K166" s="4"/>
      <c r="L166" s="4"/>
      <c r="M166" s="4"/>
    </row>
    <row r="167" spans="2:13" x14ac:dyDescent="0.25">
      <c r="B167" s="7"/>
      <c r="C167" s="11"/>
      <c r="D167" s="4"/>
      <c r="E167" s="7"/>
      <c r="F167" s="7"/>
      <c r="G167" s="7"/>
      <c r="H167" s="7"/>
      <c r="I167" s="4"/>
      <c r="J167" s="4"/>
      <c r="K167" s="4"/>
      <c r="L167" s="4"/>
      <c r="M167" s="4"/>
    </row>
    <row r="168" spans="2:13" x14ac:dyDescent="0.25">
      <c r="B168" s="7"/>
      <c r="C168" s="11"/>
      <c r="D168" s="4"/>
      <c r="E168" s="7"/>
      <c r="F168" s="7"/>
      <c r="G168" s="7"/>
      <c r="H168" s="7"/>
      <c r="I168" s="4"/>
      <c r="J168" s="4"/>
      <c r="K168" s="4"/>
      <c r="L168" s="4"/>
      <c r="M168" s="4"/>
    </row>
    <row r="169" spans="2:13" x14ac:dyDescent="0.25">
      <c r="B169" s="7"/>
      <c r="C169" s="11"/>
      <c r="D169" s="4"/>
      <c r="E169" s="7"/>
      <c r="F169" s="7"/>
      <c r="G169" s="7"/>
      <c r="H169" s="7"/>
      <c r="I169" s="4"/>
      <c r="J169" s="4"/>
      <c r="K169" s="4"/>
      <c r="L169" s="4"/>
      <c r="M169" s="4"/>
    </row>
    <row r="171" spans="2:13" x14ac:dyDescent="0.25">
      <c r="B171" s="7"/>
      <c r="C171" s="11"/>
      <c r="D171" s="4"/>
      <c r="E171" s="7"/>
      <c r="F171" s="7"/>
      <c r="G171" s="7"/>
      <c r="H171" s="7"/>
      <c r="I171" s="4"/>
      <c r="J171" s="4"/>
      <c r="K171" s="4"/>
      <c r="L171" s="4"/>
      <c r="M171" s="4"/>
    </row>
    <row r="172" spans="2:13" x14ac:dyDescent="0.25">
      <c r="B172" s="7"/>
      <c r="C172" s="11"/>
      <c r="D172" s="4"/>
      <c r="E172" s="7"/>
      <c r="F172" s="7"/>
      <c r="G172" s="7"/>
      <c r="H172" s="7"/>
      <c r="I172" s="4"/>
      <c r="J172" s="4"/>
      <c r="K172" s="4"/>
      <c r="L172" s="4"/>
      <c r="M172" s="4"/>
    </row>
    <row r="173" spans="2:13" x14ac:dyDescent="0.25">
      <c r="B173" s="7"/>
      <c r="C173" s="11"/>
      <c r="D173" s="4"/>
      <c r="F173" s="7"/>
      <c r="G173" s="7"/>
      <c r="H173" s="7"/>
      <c r="I173" s="4"/>
      <c r="J173" s="4"/>
      <c r="K173" s="4"/>
      <c r="L173" s="4"/>
      <c r="M173" s="4"/>
    </row>
    <row r="174" spans="2:13" x14ac:dyDescent="0.25">
      <c r="B174" s="7"/>
      <c r="C174" s="11"/>
      <c r="D174" s="4"/>
      <c r="E174" s="7"/>
      <c r="F174" s="7"/>
      <c r="G174" s="7"/>
      <c r="H174" s="7"/>
      <c r="I174" s="4"/>
      <c r="J174" s="4"/>
      <c r="K174" s="4"/>
      <c r="L174" s="4"/>
      <c r="M174" s="4"/>
    </row>
    <row r="175" spans="2:13" x14ac:dyDescent="0.25">
      <c r="B175" s="7"/>
      <c r="C175" s="11"/>
      <c r="D175" s="4"/>
      <c r="E175" s="7"/>
      <c r="F175" s="7"/>
      <c r="G175" s="7"/>
      <c r="H175" s="7"/>
      <c r="I175" s="4"/>
      <c r="J175" s="4"/>
      <c r="K175" s="4"/>
      <c r="L175" s="4"/>
      <c r="M175" s="4"/>
    </row>
    <row r="176" spans="2:13" x14ac:dyDescent="0.25">
      <c r="B176" s="7"/>
      <c r="C176" s="11"/>
      <c r="D176" s="4"/>
      <c r="E176" s="7"/>
      <c r="F176" s="7"/>
      <c r="G176" s="7"/>
      <c r="H176" s="7"/>
      <c r="I176" s="4"/>
      <c r="J176" s="4"/>
      <c r="K176" s="4"/>
      <c r="L176" s="4"/>
      <c r="M176" s="4"/>
    </row>
    <row r="177" spans="2:13" x14ac:dyDescent="0.25">
      <c r="B177" s="7"/>
      <c r="C177" s="11"/>
      <c r="D177" s="4"/>
      <c r="E177" s="7"/>
      <c r="F177" s="7"/>
      <c r="G177" s="7"/>
      <c r="H177" s="7"/>
      <c r="I177" s="4"/>
      <c r="J177" s="4"/>
      <c r="K177" s="4"/>
      <c r="L177" s="4"/>
      <c r="M177" s="4"/>
    </row>
    <row r="178" spans="2:13" x14ac:dyDescent="0.25">
      <c r="B178" s="7"/>
      <c r="C178" s="11"/>
      <c r="D178" s="4"/>
      <c r="E178" s="7"/>
      <c r="F178" s="7"/>
      <c r="G178" s="7"/>
      <c r="H178" s="7"/>
      <c r="I178" s="4"/>
      <c r="J178" s="4"/>
      <c r="K178" s="4"/>
      <c r="L178" s="4"/>
      <c r="M178" s="4"/>
    </row>
    <row r="180" spans="2:13" x14ac:dyDescent="0.25">
      <c r="B180" s="7"/>
      <c r="C180" s="11"/>
      <c r="D180" s="4"/>
      <c r="E180" s="7"/>
      <c r="F180" s="7"/>
      <c r="G180" s="8"/>
      <c r="H180" s="7"/>
      <c r="I180" s="4"/>
      <c r="J180" s="4"/>
      <c r="K180" s="4"/>
      <c r="L180" s="4"/>
      <c r="M180" s="4"/>
    </row>
    <row r="181" spans="2:13" x14ac:dyDescent="0.25">
      <c r="B181" s="7"/>
      <c r="C181" s="11"/>
      <c r="D181" s="4"/>
      <c r="E181" s="7"/>
      <c r="F181" s="7"/>
      <c r="G181" s="8"/>
      <c r="H181" s="7"/>
      <c r="I181" s="4"/>
      <c r="J181" s="4"/>
      <c r="K181" s="4"/>
      <c r="L181" s="4"/>
      <c r="M181" s="4"/>
    </row>
    <row r="183" spans="2:13" x14ac:dyDescent="0.25">
      <c r="B183" s="7"/>
      <c r="C183" s="11"/>
      <c r="D183" s="4"/>
      <c r="E183" s="7"/>
      <c r="F183" s="7"/>
      <c r="G183" s="7"/>
      <c r="H183" s="7"/>
      <c r="I183" s="4"/>
      <c r="J183" s="4"/>
      <c r="K183" s="4"/>
      <c r="L183" s="4"/>
      <c r="M183" s="4"/>
    </row>
    <row r="184" spans="2:13" x14ac:dyDescent="0.25">
      <c r="B184" s="7"/>
      <c r="C184" s="11"/>
      <c r="D184" s="4"/>
      <c r="E184" s="7"/>
      <c r="F184" s="7"/>
      <c r="G184" s="7"/>
      <c r="H184" s="7"/>
      <c r="I184" s="4"/>
      <c r="J184" s="4"/>
      <c r="K184" s="4"/>
      <c r="L184" s="4"/>
      <c r="M184" s="4"/>
    </row>
    <row r="185" spans="2:13" x14ac:dyDescent="0.25">
      <c r="B185" s="7"/>
      <c r="C185" s="11"/>
      <c r="D185" s="4"/>
      <c r="E185" s="7"/>
      <c r="F185" s="7"/>
      <c r="G185" s="7"/>
      <c r="H185" s="7"/>
      <c r="I185" s="4"/>
      <c r="J185" s="4"/>
      <c r="K185" s="4"/>
      <c r="L185" s="4"/>
      <c r="M185" s="4"/>
    </row>
    <row r="186" spans="2:13" x14ac:dyDescent="0.25">
      <c r="B186" s="7"/>
      <c r="C186" s="11"/>
      <c r="D186" s="4"/>
      <c r="E186" s="7"/>
      <c r="F186" s="7"/>
      <c r="G186" s="7"/>
      <c r="H186" s="7"/>
      <c r="I186" s="4"/>
      <c r="J186" s="4"/>
      <c r="K186" s="4"/>
      <c r="L186" s="4"/>
      <c r="M186" s="4"/>
    </row>
    <row r="187" spans="2:13" x14ac:dyDescent="0.25">
      <c r="B187" s="7"/>
      <c r="C187" s="11"/>
      <c r="D187" s="4"/>
      <c r="F187" s="7"/>
      <c r="G187" s="7"/>
      <c r="H187" s="7"/>
      <c r="I187" s="4"/>
      <c r="J187" s="4"/>
      <c r="K187" s="4"/>
      <c r="L187" s="4"/>
      <c r="M187" s="4"/>
    </row>
    <row r="189" spans="2:13" x14ac:dyDescent="0.25">
      <c r="B189" s="7"/>
      <c r="C189" s="11"/>
      <c r="D189" s="4"/>
      <c r="E189" s="7"/>
      <c r="F189" s="7"/>
      <c r="G189" s="7"/>
      <c r="H189" s="7"/>
      <c r="I189" s="4"/>
      <c r="J189" s="4"/>
      <c r="K189" s="4"/>
      <c r="L189" s="4"/>
      <c r="M189" s="4"/>
    </row>
    <row r="190" spans="2:13" x14ac:dyDescent="0.25">
      <c r="B190" s="7"/>
      <c r="C190" s="11"/>
      <c r="D190" s="4"/>
      <c r="E190" s="7"/>
      <c r="F190" s="7"/>
      <c r="G190" s="7"/>
      <c r="H190" s="7"/>
      <c r="I190" s="4"/>
      <c r="J190" s="4"/>
      <c r="K190" s="4"/>
      <c r="L190" s="4"/>
      <c r="M190" s="4"/>
    </row>
    <row r="191" spans="2:13" x14ac:dyDescent="0.25">
      <c r="B191" s="7"/>
      <c r="C191" s="11"/>
      <c r="D191" s="4"/>
      <c r="E191" s="7"/>
      <c r="F191" s="7"/>
      <c r="G191" s="7"/>
      <c r="H191" s="7"/>
      <c r="I191" s="4"/>
      <c r="J191" s="4"/>
      <c r="K191" s="4"/>
      <c r="L191" s="4"/>
      <c r="M191" s="4"/>
    </row>
    <row r="192" spans="2:13" x14ac:dyDescent="0.25">
      <c r="B192" s="7"/>
      <c r="C192" s="11"/>
      <c r="D192" s="4"/>
      <c r="E192" s="7"/>
      <c r="F192" s="7"/>
      <c r="G192" s="7"/>
      <c r="H192" s="7"/>
      <c r="I192" s="4"/>
      <c r="J192" s="4"/>
      <c r="K192" s="4"/>
      <c r="L192" s="4"/>
      <c r="M192" s="4"/>
    </row>
    <row r="194" spans="2:13" x14ac:dyDescent="0.25">
      <c r="B194" s="7"/>
      <c r="C194" s="11"/>
      <c r="D194" s="4"/>
      <c r="E194" s="7"/>
      <c r="F194" s="7"/>
      <c r="G194" s="7"/>
      <c r="H194" s="7"/>
      <c r="I194" s="4"/>
      <c r="J194" s="4"/>
      <c r="K194" s="4"/>
      <c r="L194" s="4"/>
      <c r="M194" s="4"/>
    </row>
    <row r="195" spans="2:13" x14ac:dyDescent="0.25">
      <c r="B195" s="7"/>
      <c r="C195" s="11"/>
      <c r="D195" s="4"/>
      <c r="E195" s="7"/>
      <c r="F195" s="7"/>
      <c r="G195" s="7"/>
      <c r="H195" s="7"/>
      <c r="I195" s="4"/>
      <c r="J195" s="4"/>
      <c r="K195" s="4"/>
      <c r="L195" s="4"/>
      <c r="M195" s="4"/>
    </row>
    <row r="196" spans="2:13" x14ac:dyDescent="0.25">
      <c r="B196" s="7"/>
      <c r="C196" s="11"/>
      <c r="D196" s="4"/>
      <c r="E196" s="7"/>
      <c r="F196" s="7"/>
      <c r="G196" s="7"/>
      <c r="H196" s="7"/>
      <c r="I196" s="4"/>
      <c r="J196" s="4"/>
      <c r="K196" s="4"/>
      <c r="L196" s="4"/>
      <c r="M196" s="4"/>
    </row>
    <row r="197" spans="2:13" x14ac:dyDescent="0.25">
      <c r="B197" s="7"/>
      <c r="C197" s="11"/>
      <c r="D197" s="4"/>
      <c r="F197" s="7"/>
      <c r="G197" s="7"/>
      <c r="H197" s="7"/>
      <c r="I197" s="4"/>
      <c r="J197" s="4"/>
      <c r="K197" s="4"/>
      <c r="L197" s="4"/>
      <c r="M197" s="4"/>
    </row>
    <row r="198" spans="2:13" x14ac:dyDescent="0.25">
      <c r="B198" s="7"/>
    </row>
    <row r="199" spans="2:13" x14ac:dyDescent="0.25">
      <c r="B199" s="7"/>
      <c r="C199" s="11"/>
      <c r="D199" s="4"/>
      <c r="E199" s="7"/>
      <c r="F199" s="7"/>
      <c r="G199" s="7"/>
      <c r="H199" s="7"/>
      <c r="I199" s="4"/>
      <c r="J199" s="4"/>
      <c r="K199" s="4"/>
      <c r="L199" s="4"/>
      <c r="M199" s="4"/>
    </row>
    <row r="200" spans="2:13" x14ac:dyDescent="0.25">
      <c r="B200" s="7"/>
      <c r="C200" s="11"/>
      <c r="D200" s="4"/>
      <c r="E200" s="7"/>
      <c r="F200" s="7"/>
      <c r="G200" s="7"/>
      <c r="H200" s="7"/>
      <c r="I200" s="4"/>
      <c r="J200" s="4"/>
      <c r="K200" s="4"/>
      <c r="L200" s="4"/>
      <c r="M200" s="4"/>
    </row>
    <row r="201" spans="2:13" x14ac:dyDescent="0.25">
      <c r="B201" s="7"/>
      <c r="C201" s="11"/>
      <c r="D201" s="4"/>
      <c r="E201" s="7"/>
      <c r="F201" s="7"/>
      <c r="G201" s="7"/>
      <c r="H201" s="7"/>
      <c r="I201" s="4"/>
      <c r="J201" s="4"/>
      <c r="K201" s="4"/>
      <c r="L201" s="4"/>
      <c r="M201" s="4"/>
    </row>
    <row r="202" spans="2:13" x14ac:dyDescent="0.25">
      <c r="B202" s="7"/>
      <c r="C202" s="11"/>
      <c r="D202" s="4"/>
      <c r="E202" s="7"/>
      <c r="F202" s="7"/>
      <c r="G202" s="7"/>
      <c r="H202" s="7"/>
      <c r="I202" s="4"/>
      <c r="J202" s="4"/>
      <c r="K202" s="4"/>
      <c r="L202" s="4"/>
      <c r="M202" s="4"/>
    </row>
    <row r="204" spans="2:13" x14ac:dyDescent="0.25">
      <c r="B204" s="7"/>
      <c r="C204" s="11"/>
      <c r="D204" s="4"/>
      <c r="E204" s="7"/>
      <c r="F204" s="7"/>
      <c r="G204" s="7"/>
      <c r="H204" s="7"/>
      <c r="I204" s="4"/>
      <c r="J204" s="4"/>
      <c r="K204" s="4"/>
      <c r="L204" s="4"/>
      <c r="M204" s="4"/>
    </row>
    <row r="205" spans="2:13" x14ac:dyDescent="0.25">
      <c r="B205" s="7"/>
      <c r="C205" s="11"/>
      <c r="D205" s="4"/>
      <c r="E205" s="7"/>
      <c r="F205" s="7"/>
      <c r="G205" s="7"/>
      <c r="H205" s="7"/>
      <c r="I205" s="4"/>
      <c r="J205" s="4"/>
      <c r="K205" s="4"/>
      <c r="L205" s="4"/>
      <c r="M205" s="4"/>
    </row>
    <row r="206" spans="2:13" x14ac:dyDescent="0.25">
      <c r="B206" s="7"/>
      <c r="C206" s="11"/>
      <c r="D206" s="4"/>
      <c r="E206" s="7"/>
      <c r="F206" s="7"/>
      <c r="G206" s="7"/>
      <c r="H206" s="7"/>
      <c r="I206" s="4"/>
      <c r="J206" s="4"/>
      <c r="K206" s="4"/>
      <c r="L206" s="4"/>
      <c r="M206" s="4"/>
    </row>
    <row r="207" spans="2:13" x14ac:dyDescent="0.25">
      <c r="B207" s="7"/>
      <c r="C207" s="11"/>
      <c r="D207" s="4"/>
      <c r="E207" s="7"/>
      <c r="F207" s="7"/>
      <c r="G207" s="7"/>
      <c r="H207" s="7"/>
      <c r="I207" s="4"/>
      <c r="J207" s="4"/>
      <c r="K207" s="4"/>
      <c r="L207" s="4"/>
      <c r="M207" s="4"/>
    </row>
    <row r="208" spans="2:13" x14ac:dyDescent="0.25">
      <c r="B208" s="7"/>
      <c r="C208" s="11"/>
      <c r="D208" s="4"/>
      <c r="F208" s="7"/>
      <c r="G208" s="7"/>
      <c r="H208" s="7"/>
      <c r="I208" s="4"/>
      <c r="J208" s="4"/>
      <c r="K208" s="4"/>
      <c r="L208" s="4"/>
      <c r="M208" s="4"/>
    </row>
    <row r="209" spans="2:13" x14ac:dyDescent="0.25">
      <c r="B209" s="7"/>
      <c r="C209" s="11"/>
      <c r="D209" s="4"/>
      <c r="E209" s="7"/>
      <c r="F209" s="7"/>
      <c r="G209" s="7"/>
      <c r="H209" s="7"/>
      <c r="I209" s="4"/>
      <c r="J209" s="4"/>
      <c r="K209" s="4"/>
      <c r="L209" s="4"/>
      <c r="M209" s="4"/>
    </row>
    <row r="210" spans="2:13" x14ac:dyDescent="0.25">
      <c r="B210" s="7"/>
      <c r="C210" s="11"/>
      <c r="D210" s="4"/>
      <c r="E210" s="7"/>
      <c r="F210" s="7"/>
      <c r="G210" s="7"/>
      <c r="H210" s="7"/>
      <c r="I210" s="4"/>
      <c r="J210" s="4"/>
      <c r="K210" s="4"/>
      <c r="L210" s="4"/>
      <c r="M210" s="4"/>
    </row>
    <row r="211" spans="2:13" x14ac:dyDescent="0.25">
      <c r="B211" s="7"/>
      <c r="C211" s="11"/>
      <c r="D211" s="4"/>
      <c r="E211" s="7"/>
      <c r="F211" s="7"/>
      <c r="G211" s="7"/>
      <c r="H211" s="7"/>
      <c r="I211" s="4"/>
      <c r="J211" s="4"/>
      <c r="K211" s="4"/>
      <c r="L211" s="4"/>
      <c r="M211" s="4"/>
    </row>
    <row r="213" spans="2:13" x14ac:dyDescent="0.25">
      <c r="B213" s="7"/>
      <c r="C213" s="11"/>
      <c r="D213" s="4"/>
      <c r="E213" s="7"/>
      <c r="F213" s="7"/>
      <c r="G213" s="7"/>
      <c r="H213" s="7"/>
      <c r="I213" s="4"/>
      <c r="J213" s="4"/>
      <c r="K213" s="4"/>
      <c r="L213" s="4"/>
      <c r="M213" s="4"/>
    </row>
    <row r="214" spans="2:13" x14ac:dyDescent="0.25">
      <c r="B214" s="7"/>
      <c r="C214" s="11"/>
      <c r="D214" s="4"/>
      <c r="E214" s="7"/>
      <c r="F214" s="7"/>
      <c r="G214" s="7"/>
      <c r="H214" s="7"/>
      <c r="I214" s="4"/>
      <c r="J214" s="4"/>
      <c r="K214" s="4"/>
      <c r="L214" s="4"/>
      <c r="M214" s="4"/>
    </row>
    <row r="215" spans="2:13" x14ac:dyDescent="0.25">
      <c r="B215" s="7"/>
      <c r="C215" s="11"/>
      <c r="D215" s="4"/>
      <c r="F215" s="7"/>
      <c r="G215" s="7"/>
      <c r="H215" s="7"/>
      <c r="I215" s="4"/>
      <c r="J215" s="4"/>
      <c r="K215" s="4"/>
      <c r="L215" s="4"/>
      <c r="M215" s="4"/>
    </row>
    <row r="217" spans="2:13" x14ac:dyDescent="0.25">
      <c r="B217" s="7"/>
      <c r="C217" s="11"/>
      <c r="D217" s="4"/>
      <c r="E217" s="7"/>
      <c r="F217" s="7"/>
      <c r="G217" s="7"/>
      <c r="H217" s="7"/>
      <c r="I217" s="4"/>
      <c r="J217" s="4"/>
      <c r="K217" s="4"/>
      <c r="L217" s="4"/>
      <c r="M217" s="4"/>
    </row>
    <row r="218" spans="2:13" x14ac:dyDescent="0.25">
      <c r="B218" s="7"/>
      <c r="C218" s="11"/>
      <c r="D218" s="4"/>
      <c r="E218" s="7"/>
      <c r="F218" s="7"/>
      <c r="G218" s="7"/>
      <c r="H218" s="7"/>
      <c r="I218" s="4"/>
      <c r="J218" s="4"/>
      <c r="K218" s="4"/>
      <c r="L218" s="4"/>
      <c r="M218" s="4"/>
    </row>
    <row r="220" spans="2:13" x14ac:dyDescent="0.25">
      <c r="B220" s="7"/>
      <c r="C220" s="11"/>
      <c r="D220" s="4"/>
      <c r="E220" s="7"/>
      <c r="F220" s="7"/>
      <c r="G220" s="7"/>
      <c r="H220" s="7"/>
      <c r="I220" s="4"/>
      <c r="J220" s="4"/>
      <c r="K220" s="4"/>
      <c r="L220" s="4"/>
      <c r="M220" s="4"/>
    </row>
    <row r="221" spans="2:13" x14ac:dyDescent="0.25">
      <c r="B221" s="7"/>
      <c r="C221" s="11"/>
      <c r="D221" s="4"/>
      <c r="E221" s="7"/>
      <c r="F221" s="7"/>
      <c r="G221" s="7"/>
      <c r="H221" s="7"/>
      <c r="I221" s="4"/>
      <c r="J221" s="4"/>
      <c r="K221" s="4"/>
      <c r="L221" s="4"/>
      <c r="M221" s="4"/>
    </row>
    <row r="222" spans="2:13" x14ac:dyDescent="0.25">
      <c r="B222" s="7"/>
      <c r="C222" s="11"/>
      <c r="D222" s="4"/>
      <c r="E222" s="7"/>
      <c r="F222" s="7"/>
      <c r="G222" s="7"/>
      <c r="H222" s="7"/>
      <c r="I222" s="4"/>
      <c r="J222" s="4"/>
      <c r="K222" s="4"/>
      <c r="L222" s="4"/>
      <c r="M222" s="4"/>
    </row>
    <row r="223" spans="2:13" x14ac:dyDescent="0.25">
      <c r="B223" s="7"/>
      <c r="C223" s="11"/>
      <c r="D223" s="4"/>
      <c r="E223" s="7"/>
      <c r="F223" s="7"/>
      <c r="G223" s="7"/>
      <c r="H223" s="7"/>
      <c r="I223" s="4"/>
      <c r="J223" s="4"/>
      <c r="K223" s="4"/>
      <c r="L223" s="4"/>
      <c r="M223" s="4"/>
    </row>
    <row r="225" spans="2:13" x14ac:dyDescent="0.25">
      <c r="B225" s="7"/>
      <c r="C225" s="11"/>
      <c r="D225" s="4"/>
      <c r="E225" s="7"/>
      <c r="F225" s="7"/>
      <c r="G225" s="7"/>
      <c r="H225" s="7"/>
      <c r="I225" s="4"/>
      <c r="J225" s="4"/>
      <c r="K225" s="4"/>
      <c r="L225" s="4"/>
      <c r="M225" s="4"/>
    </row>
    <row r="226" spans="2:13" x14ac:dyDescent="0.25">
      <c r="B226" s="7"/>
      <c r="C226" s="11"/>
      <c r="D226" s="4"/>
      <c r="E226" s="7"/>
      <c r="F226" s="7"/>
      <c r="G226" s="7"/>
      <c r="H226" s="7"/>
      <c r="I226" s="4"/>
      <c r="J226" s="4"/>
      <c r="K226" s="4"/>
      <c r="L226" s="4"/>
      <c r="M226" s="4"/>
    </row>
    <row r="227" spans="2:13" x14ac:dyDescent="0.25">
      <c r="B227" s="7"/>
      <c r="C227" s="11"/>
      <c r="D227" s="4"/>
      <c r="E227" s="7"/>
      <c r="F227" s="7"/>
      <c r="G227" s="7"/>
      <c r="H227" s="7"/>
      <c r="I227" s="4"/>
      <c r="J227" s="4"/>
      <c r="K227" s="4"/>
      <c r="L227" s="4"/>
      <c r="M227" s="4"/>
    </row>
    <row r="228" spans="2:13" x14ac:dyDescent="0.25">
      <c r="B228" s="7"/>
      <c r="C228" s="11"/>
      <c r="D228" s="4"/>
      <c r="E228" s="7"/>
      <c r="F228" s="7"/>
      <c r="G228" s="7"/>
      <c r="H228" s="7"/>
      <c r="I228" s="4"/>
      <c r="J228" s="4"/>
      <c r="K228" s="4"/>
      <c r="L228" s="4"/>
      <c r="M228" s="4"/>
    </row>
    <row r="230" spans="2:13" x14ac:dyDescent="0.25">
      <c r="B230" s="7"/>
      <c r="C230" s="11"/>
      <c r="D230" s="4"/>
      <c r="E230" s="7"/>
      <c r="F230" s="7"/>
      <c r="G230" s="8"/>
      <c r="H230" s="7"/>
      <c r="I230" s="4"/>
      <c r="J230" s="4"/>
      <c r="K230" s="4"/>
      <c r="L230" s="4"/>
      <c r="M230" s="4"/>
    </row>
    <row r="231" spans="2:13" x14ac:dyDescent="0.25">
      <c r="B231" s="7"/>
      <c r="C231" s="11"/>
      <c r="D231" s="4"/>
      <c r="E231" s="7"/>
      <c r="F231" s="7"/>
      <c r="G231" s="8"/>
      <c r="H231" s="7"/>
      <c r="I231" s="4"/>
      <c r="J231" s="4"/>
      <c r="K231" s="4"/>
      <c r="L231" s="4"/>
      <c r="M231" s="4"/>
    </row>
  </sheetData>
  <mergeCells count="2">
    <mergeCell ref="E6:H6"/>
    <mergeCell ref="I6:M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C3D4-A495-40BF-9101-5DE31BF8440D}">
  <dimension ref="A2:H16"/>
  <sheetViews>
    <sheetView tabSelected="1" workbookViewId="0">
      <selection activeCell="H14" sqref="H14"/>
    </sheetView>
  </sheetViews>
  <sheetFormatPr baseColWidth="10" defaultRowHeight="15" x14ac:dyDescent="0.25"/>
  <cols>
    <col min="2" max="2" width="21" customWidth="1"/>
    <col min="3" max="3" width="24.5703125" bestFit="1" customWidth="1"/>
    <col min="8" max="8" width="46.140625" bestFit="1" customWidth="1"/>
  </cols>
  <sheetData>
    <row r="2" spans="1:8" x14ac:dyDescent="0.25">
      <c r="A2" s="1" t="s">
        <v>49</v>
      </c>
      <c r="B2" s="1" t="s">
        <v>50</v>
      </c>
      <c r="C2" s="9" t="s">
        <v>51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63</v>
      </c>
      <c r="B3" t="s">
        <v>64</v>
      </c>
      <c r="C3" t="str">
        <f>Wirkungsgradkurven!O15</f>
        <v>dcm_0,273_3,3_24_1,2</v>
      </c>
      <c r="D3" s="14" t="s">
        <v>65</v>
      </c>
      <c r="E3" s="14" t="s">
        <v>66</v>
      </c>
      <c r="F3" s="14" t="s">
        <v>67</v>
      </c>
      <c r="G3" s="14" t="s">
        <v>88</v>
      </c>
    </row>
    <row r="4" spans="1:8" x14ac:dyDescent="0.25">
      <c r="A4" t="s">
        <v>69</v>
      </c>
      <c r="B4" t="s">
        <v>64</v>
      </c>
      <c r="C4" t="str">
        <f>Wirkungsgradkurven!O22</f>
        <v>dcm_0,123_5,_12_0,5</v>
      </c>
      <c r="D4" s="14" t="s">
        <v>65</v>
      </c>
      <c r="E4" s="14" t="s">
        <v>66</v>
      </c>
      <c r="F4" s="14" t="s">
        <v>67</v>
      </c>
      <c r="G4" s="14" t="s">
        <v>88</v>
      </c>
    </row>
    <row r="5" spans="1:8" x14ac:dyDescent="0.25">
      <c r="A5" t="s">
        <v>70</v>
      </c>
      <c r="B5" t="s">
        <v>64</v>
      </c>
      <c r="C5" t="str">
        <f>Wirkungsgradkurven!O37</f>
        <v>dcm_0,2303_5,_48_2,3</v>
      </c>
      <c r="D5" s="14" t="s">
        <v>65</v>
      </c>
      <c r="E5" s="14" t="s">
        <v>66</v>
      </c>
      <c r="F5" s="14" t="s">
        <v>67</v>
      </c>
      <c r="G5" s="14" t="s">
        <v>88</v>
      </c>
    </row>
    <row r="6" spans="1:8" x14ac:dyDescent="0.25">
      <c r="A6" t="s">
        <v>71</v>
      </c>
      <c r="B6" t="s">
        <v>64</v>
      </c>
      <c r="C6" t="str">
        <f>Wirkungsgradkurven!O43</f>
        <v>dcm_0,05_12,_24_0,6</v>
      </c>
      <c r="D6" s="14" t="s">
        <v>65</v>
      </c>
      <c r="E6" s="14" t="s">
        <v>66</v>
      </c>
      <c r="F6" s="14" t="s">
        <v>67</v>
      </c>
      <c r="G6" s="14" t="s">
        <v>88</v>
      </c>
    </row>
    <row r="7" spans="1:8" x14ac:dyDescent="0.25">
      <c r="A7" t="s">
        <v>73</v>
      </c>
      <c r="B7" t="s">
        <v>64</v>
      </c>
      <c r="C7" t="str">
        <f>Wirkungsgradkurven!O53</f>
        <v>ccm_0,27_12,_24_63,7</v>
      </c>
      <c r="D7" s="14" t="s">
        <v>65</v>
      </c>
      <c r="E7" s="14" t="s">
        <v>66</v>
      </c>
      <c r="F7" s="14" t="s">
        <v>67</v>
      </c>
      <c r="G7" s="14" t="s">
        <v>88</v>
      </c>
      <c r="H7" t="s">
        <v>80</v>
      </c>
    </row>
    <row r="8" spans="1:8" x14ac:dyDescent="0.25">
      <c r="A8" t="s">
        <v>74</v>
      </c>
      <c r="B8" t="s">
        <v>64</v>
      </c>
      <c r="C8" t="str">
        <f>Wirkungsgradkurven!O55</f>
        <v>dcm_0,1222_12,_48_2,3</v>
      </c>
      <c r="D8" s="14" t="s">
        <v>65</v>
      </c>
      <c r="E8" s="14" t="s">
        <v>66</v>
      </c>
      <c r="F8" s="14" t="s">
        <v>67</v>
      </c>
      <c r="G8" s="14" t="s">
        <v>88</v>
      </c>
    </row>
    <row r="9" spans="1:8" x14ac:dyDescent="0.25">
      <c r="A9" t="s">
        <v>72</v>
      </c>
      <c r="B9" t="s">
        <v>64</v>
      </c>
      <c r="C9" t="str">
        <f>Wirkungsgradkurven!O61</f>
        <v>ccm_0,3787_12,_48_60,6</v>
      </c>
      <c r="D9" s="14" t="s">
        <v>65</v>
      </c>
      <c r="E9" s="14" t="s">
        <v>66</v>
      </c>
      <c r="F9" s="14" t="s">
        <v>67</v>
      </c>
      <c r="G9" s="14" t="s">
        <v>88</v>
      </c>
      <c r="H9" t="s">
        <v>80</v>
      </c>
    </row>
    <row r="10" spans="1:8" x14ac:dyDescent="0.25">
      <c r="A10" t="s">
        <v>75</v>
      </c>
      <c r="B10" t="s">
        <v>64</v>
      </c>
      <c r="C10" t="str">
        <f>Wirkungsgradkurven!O63</f>
        <v>dcm_0,0442_24,_48_2,3</v>
      </c>
      <c r="D10" s="14" t="s">
        <v>65</v>
      </c>
      <c r="E10" s="14" t="s">
        <v>66</v>
      </c>
      <c r="F10" s="14" t="s">
        <v>67</v>
      </c>
      <c r="G10" s="14" t="s">
        <v>88</v>
      </c>
    </row>
    <row r="11" spans="1:8" x14ac:dyDescent="0.25">
      <c r="A11" t="s">
        <v>76</v>
      </c>
      <c r="B11" t="s">
        <v>64</v>
      </c>
      <c r="C11" t="str">
        <f>Wirkungsgradkurven!O67</f>
        <v>dcm_0,2093_24,_48_29,9</v>
      </c>
      <c r="D11" s="14" t="s">
        <v>65</v>
      </c>
      <c r="E11" s="14" t="s">
        <v>66</v>
      </c>
      <c r="F11" s="14" t="s">
        <v>67</v>
      </c>
      <c r="G11" s="14" t="s">
        <v>88</v>
      </c>
    </row>
    <row r="12" spans="1:8" x14ac:dyDescent="0.25">
      <c r="A12" t="s">
        <v>77</v>
      </c>
      <c r="B12" t="s">
        <v>64</v>
      </c>
      <c r="C12" t="str">
        <f>Wirkungsgradkurven!O68</f>
        <v>ccm_0,2503_24,_48_50,1</v>
      </c>
      <c r="D12" s="14" t="s">
        <v>65</v>
      </c>
      <c r="E12" s="14" t="s">
        <v>66</v>
      </c>
      <c r="F12" s="14" t="s">
        <v>67</v>
      </c>
      <c r="G12" s="14" t="s">
        <v>88</v>
      </c>
    </row>
    <row r="13" spans="1:8" x14ac:dyDescent="0.25">
      <c r="A13" t="s">
        <v>78</v>
      </c>
      <c r="B13" t="s">
        <v>64</v>
      </c>
      <c r="C13" t="str">
        <f>Wirkungsgradkurven!O71</f>
        <v>ccm_0,2532_24,_48_100,2</v>
      </c>
      <c r="D13" s="14" t="s">
        <v>65</v>
      </c>
      <c r="E13" s="14" t="s">
        <v>66</v>
      </c>
      <c r="F13" s="14" t="s">
        <v>67</v>
      </c>
      <c r="G13" s="14" t="s">
        <v>88</v>
      </c>
    </row>
    <row r="14" spans="1:8" ht="60" x14ac:dyDescent="0.25">
      <c r="A14" t="s">
        <v>79</v>
      </c>
      <c r="B14" s="15" t="s">
        <v>81</v>
      </c>
      <c r="C14" t="str">
        <f>Wirkungsgradkurven!O72</f>
        <v>ccm_0,2548_24,_48_134,2</v>
      </c>
      <c r="D14" s="14" t="s">
        <v>65</v>
      </c>
      <c r="E14" s="14" t="s">
        <v>66</v>
      </c>
      <c r="F14" s="14" t="s">
        <v>67</v>
      </c>
      <c r="G14" s="14" t="s">
        <v>88</v>
      </c>
      <c r="H14" t="s">
        <v>80</v>
      </c>
    </row>
    <row r="15" spans="1:8" x14ac:dyDescent="0.25">
      <c r="A15" t="s">
        <v>64</v>
      </c>
      <c r="B15" s="17" t="s">
        <v>87</v>
      </c>
      <c r="C15" t="str">
        <f>Wirkungsgradkurven!O50</f>
        <v>ccm_0,263_12,_24_28,5</v>
      </c>
      <c r="D15" s="14" t="s">
        <v>64</v>
      </c>
      <c r="E15" s="14" t="s">
        <v>64</v>
      </c>
      <c r="F15" s="14" t="s">
        <v>64</v>
      </c>
      <c r="G15" s="14" t="s">
        <v>64</v>
      </c>
      <c r="H15" s="14" t="s">
        <v>86</v>
      </c>
    </row>
    <row r="16" spans="1:8" x14ac:dyDescent="0.25">
      <c r="A16" t="s">
        <v>64</v>
      </c>
      <c r="B16" s="17" t="s">
        <v>87</v>
      </c>
      <c r="C16" t="str">
        <f>Wirkungsgradkurven!O70</f>
        <v>ccm_0,253_24,_48_92,9</v>
      </c>
      <c r="D16" s="14" t="s">
        <v>64</v>
      </c>
      <c r="E16" s="14" t="s">
        <v>64</v>
      </c>
      <c r="F16" s="14" t="s">
        <v>64</v>
      </c>
      <c r="G16" s="14" t="s">
        <v>64</v>
      </c>
      <c r="H16" s="14" t="s">
        <v>86</v>
      </c>
    </row>
  </sheetData>
  <phoneticPr fontId="4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4350-5702-4E99-919B-196B22BA9395}">
  <dimension ref="B2:E12"/>
  <sheetViews>
    <sheetView topLeftCell="B1" workbookViewId="0">
      <selection activeCell="B24" sqref="B24"/>
    </sheetView>
  </sheetViews>
  <sheetFormatPr baseColWidth="10" defaultRowHeight="15" x14ac:dyDescent="0.25"/>
  <cols>
    <col min="2" max="2" width="41.42578125" bestFit="1" customWidth="1"/>
    <col min="3" max="3" width="26.85546875" bestFit="1" customWidth="1"/>
    <col min="4" max="4" width="39.7109375" bestFit="1" customWidth="1"/>
  </cols>
  <sheetData>
    <row r="2" spans="2:5" x14ac:dyDescent="0.25">
      <c r="B2" s="2" t="s">
        <v>9</v>
      </c>
      <c r="C2" s="2" t="s">
        <v>10</v>
      </c>
      <c r="D2" s="2" t="s">
        <v>11</v>
      </c>
      <c r="E2" s="2" t="s">
        <v>12</v>
      </c>
    </row>
    <row r="3" spans="2:5" x14ac:dyDescent="0.25">
      <c r="B3" s="2" t="s">
        <v>13</v>
      </c>
      <c r="C3" s="2" t="s">
        <v>14</v>
      </c>
      <c r="D3" s="2" t="s">
        <v>15</v>
      </c>
      <c r="E3" s="3">
        <v>1</v>
      </c>
    </row>
    <row r="4" spans="2:5" x14ac:dyDescent="0.25">
      <c r="B4" s="2" t="s">
        <v>22</v>
      </c>
      <c r="C4" s="2" t="s">
        <v>19</v>
      </c>
      <c r="D4" s="2" t="s">
        <v>20</v>
      </c>
      <c r="E4" s="3">
        <v>1</v>
      </c>
    </row>
    <row r="5" spans="2:5" x14ac:dyDescent="0.25">
      <c r="B5" s="2" t="s">
        <v>24</v>
      </c>
      <c r="C5" s="2" t="s">
        <v>18</v>
      </c>
      <c r="D5" s="2" t="s">
        <v>23</v>
      </c>
      <c r="E5" s="3">
        <v>1</v>
      </c>
    </row>
    <row r="6" spans="2:5" x14ac:dyDescent="0.25">
      <c r="B6" s="2" t="s">
        <v>16</v>
      </c>
      <c r="C6" s="2" t="s">
        <v>17</v>
      </c>
      <c r="D6" s="2" t="s">
        <v>21</v>
      </c>
      <c r="E6" s="3">
        <v>4</v>
      </c>
    </row>
    <row r="7" spans="2:5" x14ac:dyDescent="0.25">
      <c r="B7" s="2" t="s">
        <v>26</v>
      </c>
      <c r="C7" s="2" t="s">
        <v>25</v>
      </c>
      <c r="D7" s="2" t="s">
        <v>27</v>
      </c>
      <c r="E7" s="3">
        <v>1</v>
      </c>
    </row>
    <row r="8" spans="2:5" x14ac:dyDescent="0.25">
      <c r="B8" s="2" t="s">
        <v>38</v>
      </c>
      <c r="C8" s="2" t="s">
        <v>39</v>
      </c>
      <c r="D8" s="2" t="s">
        <v>40</v>
      </c>
      <c r="E8" s="3">
        <v>1</v>
      </c>
    </row>
    <row r="9" spans="2:5" x14ac:dyDescent="0.25">
      <c r="B9" s="2" t="s">
        <v>52</v>
      </c>
      <c r="C9" s="2" t="s">
        <v>53</v>
      </c>
      <c r="D9" s="2" t="s">
        <v>54</v>
      </c>
      <c r="E9" s="3">
        <v>1</v>
      </c>
    </row>
    <row r="10" spans="2:5" x14ac:dyDescent="0.25">
      <c r="B10" s="2" t="s">
        <v>82</v>
      </c>
      <c r="C10" s="2" t="s">
        <v>83</v>
      </c>
      <c r="D10" s="2" t="s">
        <v>84</v>
      </c>
      <c r="E10" s="3">
        <v>2</v>
      </c>
    </row>
    <row r="11" spans="2:5" x14ac:dyDescent="0.25">
      <c r="B11" s="2"/>
      <c r="C11" s="2"/>
      <c r="D11" s="2"/>
      <c r="E11" s="3"/>
    </row>
    <row r="12" spans="2:5" x14ac:dyDescent="0.25">
      <c r="B12" s="2"/>
      <c r="C12" s="2"/>
      <c r="D12" s="2"/>
      <c r="E1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Uebersetzung_ccm</vt:lpstr>
      <vt:lpstr>Wirkungsgradkurven</vt:lpstr>
      <vt:lpstr>Bildverzeichnis</vt:lpstr>
      <vt:lpstr>Messmittel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2026-06-19T10:43:55Z</dcterms:modified>
</cp:coreProperties>
</file>