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FHTW_Daniel_Stevic\Masterarbeit\Messungen\Wirkungsgradmessung\Type4\"/>
    </mc:Choice>
  </mc:AlternateContent>
  <xr:revisionPtr revIDLastSave="0" documentId="13_ncr:1_{C9533119-EB04-4767-A94B-80BB6D46CB9E}" xr6:coauthVersionLast="47" xr6:coauthVersionMax="47" xr10:uidLastSave="{00000000-0000-0000-0000-000000000000}"/>
  <bookViews>
    <workbookView xWindow="-38520" yWindow="-120" windowWidth="38640" windowHeight="21240" activeTab="4" xr2:uid="{00000000-000D-0000-FFFF-FFFF00000000}"/>
  </bookViews>
  <sheets>
    <sheet name="Uebersetzung_ccm" sheetId="1" r:id="rId1"/>
    <sheet name="Wirkungsgradkurven" sheetId="5" r:id="rId2"/>
    <sheet name="Bildverzeichnis" sheetId="3" r:id="rId3"/>
    <sheet name="Messmittel" sheetId="4" r:id="rId4"/>
    <sheet name="Simulationsvergleich" sheetId="6" r:id="rId5"/>
  </sheets>
  <definedNames>
    <definedName name="_xlnm._FilterDatabase" localSheetId="0" hidden="1">Uebersetzung_ccm!$B$7:$N$229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5" l="1"/>
  <c r="O50" i="5" s="1"/>
  <c r="C14" i="3" s="1"/>
  <c r="J50" i="5"/>
  <c r="L50" i="5" s="1"/>
  <c r="I50" i="5"/>
  <c r="D50" i="5"/>
  <c r="K70" i="5"/>
  <c r="O70" i="5" s="1"/>
  <c r="C15" i="3" s="1"/>
  <c r="J70" i="5"/>
  <c r="I70" i="5"/>
  <c r="D70" i="5"/>
  <c r="K72" i="5"/>
  <c r="O72" i="5" s="1"/>
  <c r="C13" i="3" s="1"/>
  <c r="J72" i="5"/>
  <c r="I72" i="5"/>
  <c r="D72" i="5"/>
  <c r="K71" i="5"/>
  <c r="J71" i="5"/>
  <c r="I71" i="5"/>
  <c r="D71" i="5"/>
  <c r="K69" i="5"/>
  <c r="J69" i="5"/>
  <c r="I69" i="5"/>
  <c r="D69" i="5"/>
  <c r="K68" i="5"/>
  <c r="J68" i="5"/>
  <c r="I68" i="5"/>
  <c r="D68" i="5"/>
  <c r="K67" i="5"/>
  <c r="J67" i="5"/>
  <c r="I67" i="5"/>
  <c r="D67" i="5"/>
  <c r="K66" i="5"/>
  <c r="J66" i="5"/>
  <c r="I66" i="5"/>
  <c r="D66" i="5"/>
  <c r="K65" i="5"/>
  <c r="J65" i="5"/>
  <c r="I65" i="5"/>
  <c r="D65" i="5"/>
  <c r="K64" i="5"/>
  <c r="J64" i="5"/>
  <c r="I64" i="5"/>
  <c r="D64" i="5"/>
  <c r="K63" i="5"/>
  <c r="J63" i="5"/>
  <c r="I63" i="5"/>
  <c r="D63" i="5"/>
  <c r="K61" i="5"/>
  <c r="J61" i="5"/>
  <c r="I61" i="5"/>
  <c r="D61" i="5"/>
  <c r="K60" i="5"/>
  <c r="J60" i="5"/>
  <c r="I60" i="5"/>
  <c r="D60" i="5"/>
  <c r="K59" i="5"/>
  <c r="J59" i="5"/>
  <c r="I59" i="5"/>
  <c r="D59" i="5"/>
  <c r="K58" i="5"/>
  <c r="J58" i="5"/>
  <c r="I58" i="5"/>
  <c r="D58" i="5"/>
  <c r="K57" i="5"/>
  <c r="J57" i="5"/>
  <c r="I57" i="5"/>
  <c r="D57" i="5"/>
  <c r="K56" i="5"/>
  <c r="J56" i="5"/>
  <c r="I56" i="5"/>
  <c r="D56" i="5"/>
  <c r="K55" i="5"/>
  <c r="J55" i="5"/>
  <c r="I55" i="5"/>
  <c r="D55" i="5"/>
  <c r="K53" i="5"/>
  <c r="O53" i="5" s="1"/>
  <c r="C12" i="3" s="1"/>
  <c r="J53" i="5"/>
  <c r="I53" i="5"/>
  <c r="D53" i="5"/>
  <c r="K52" i="5"/>
  <c r="J52" i="5"/>
  <c r="I52" i="5"/>
  <c r="D52" i="5"/>
  <c r="K51" i="5"/>
  <c r="J51" i="5"/>
  <c r="I51" i="5"/>
  <c r="D51" i="5"/>
  <c r="K49" i="5"/>
  <c r="J49" i="5"/>
  <c r="I49" i="5"/>
  <c r="D49" i="5"/>
  <c r="I43" i="5"/>
  <c r="O47" i="5"/>
  <c r="C11" i="3" s="1"/>
  <c r="K48" i="5"/>
  <c r="J48" i="5"/>
  <c r="I48" i="5"/>
  <c r="D48" i="5"/>
  <c r="K47" i="5"/>
  <c r="J47" i="5"/>
  <c r="I47" i="5"/>
  <c r="D47" i="5"/>
  <c r="K46" i="5"/>
  <c r="J46" i="5"/>
  <c r="I46" i="5"/>
  <c r="D46" i="5"/>
  <c r="K45" i="5"/>
  <c r="J45" i="5"/>
  <c r="I45" i="5"/>
  <c r="D45" i="5"/>
  <c r="K44" i="5"/>
  <c r="J44" i="5"/>
  <c r="I44" i="5"/>
  <c r="D44" i="5"/>
  <c r="K43" i="5"/>
  <c r="O43" i="5" s="1"/>
  <c r="C10" i="3" s="1"/>
  <c r="J43" i="5"/>
  <c r="D43" i="5"/>
  <c r="K41" i="5"/>
  <c r="O41" i="5" s="1"/>
  <c r="C8" i="3" s="1"/>
  <c r="J41" i="5"/>
  <c r="I41" i="5"/>
  <c r="D41" i="5"/>
  <c r="K40" i="5"/>
  <c r="J40" i="5"/>
  <c r="I40" i="5"/>
  <c r="D40" i="5"/>
  <c r="K39" i="5"/>
  <c r="J39" i="5"/>
  <c r="I39" i="5"/>
  <c r="D39" i="5"/>
  <c r="K38" i="5"/>
  <c r="J38" i="5"/>
  <c r="I38" i="5"/>
  <c r="D38" i="5"/>
  <c r="K37" i="5"/>
  <c r="O37" i="5" s="1"/>
  <c r="C9" i="3" s="1"/>
  <c r="J37" i="5"/>
  <c r="I37" i="5"/>
  <c r="D37" i="5"/>
  <c r="K35" i="5"/>
  <c r="M35" i="5" s="1"/>
  <c r="J35" i="5"/>
  <c r="I35" i="5"/>
  <c r="D35" i="5"/>
  <c r="K34" i="5"/>
  <c r="J34" i="5"/>
  <c r="I34" i="5"/>
  <c r="D34" i="5"/>
  <c r="K33" i="5"/>
  <c r="J33" i="5"/>
  <c r="I33" i="5"/>
  <c r="D33" i="5"/>
  <c r="K32" i="5"/>
  <c r="O32" i="5" s="1"/>
  <c r="C7" i="3" s="1"/>
  <c r="J32" i="5"/>
  <c r="I32" i="5"/>
  <c r="D32" i="5"/>
  <c r="K31" i="5"/>
  <c r="J31" i="5"/>
  <c r="I31" i="5"/>
  <c r="D31" i="5"/>
  <c r="K30" i="5"/>
  <c r="O30" i="5" s="1"/>
  <c r="J30" i="5"/>
  <c r="I30" i="5"/>
  <c r="D30" i="5"/>
  <c r="K22" i="5"/>
  <c r="O22" i="5" s="1"/>
  <c r="J22" i="5"/>
  <c r="I22" i="5"/>
  <c r="D22" i="5"/>
  <c r="K28" i="5"/>
  <c r="J28" i="5"/>
  <c r="I28" i="5"/>
  <c r="D28" i="5"/>
  <c r="K27" i="5"/>
  <c r="J27" i="5"/>
  <c r="I27" i="5"/>
  <c r="D27" i="5"/>
  <c r="K26" i="5"/>
  <c r="J26" i="5"/>
  <c r="I26" i="5"/>
  <c r="D26" i="5"/>
  <c r="K25" i="5"/>
  <c r="J25" i="5"/>
  <c r="I25" i="5"/>
  <c r="D25" i="5"/>
  <c r="K24" i="5"/>
  <c r="J24" i="5"/>
  <c r="I24" i="5"/>
  <c r="D24" i="5"/>
  <c r="K23" i="5"/>
  <c r="J23" i="5"/>
  <c r="I23" i="5"/>
  <c r="D23" i="5"/>
  <c r="K20" i="5"/>
  <c r="O20" i="5" s="1"/>
  <c r="C4" i="3" s="1"/>
  <c r="J20" i="5"/>
  <c r="I20" i="5"/>
  <c r="D20" i="5"/>
  <c r="K19" i="5"/>
  <c r="J19" i="5"/>
  <c r="I19" i="5"/>
  <c r="D19" i="5"/>
  <c r="K18" i="5"/>
  <c r="O18" i="5" s="1"/>
  <c r="C3" i="3" s="1"/>
  <c r="J18" i="5"/>
  <c r="I18" i="5"/>
  <c r="D18" i="5"/>
  <c r="K17" i="5"/>
  <c r="J17" i="5"/>
  <c r="I17" i="5"/>
  <c r="D17" i="5"/>
  <c r="K16" i="5"/>
  <c r="J16" i="5"/>
  <c r="I16" i="5"/>
  <c r="D16" i="5"/>
  <c r="K15" i="5"/>
  <c r="O15" i="5" s="1"/>
  <c r="C6" i="3" s="1"/>
  <c r="J15" i="5"/>
  <c r="I15" i="5"/>
  <c r="D15" i="5"/>
  <c r="K11" i="5"/>
  <c r="J11" i="5"/>
  <c r="I11" i="5"/>
  <c r="D11" i="5"/>
  <c r="K9" i="5"/>
  <c r="J9" i="5"/>
  <c r="I9" i="5"/>
  <c r="D9" i="5"/>
  <c r="K13" i="5"/>
  <c r="J13" i="5"/>
  <c r="I13" i="5"/>
  <c r="D13" i="5"/>
  <c r="K12" i="5"/>
  <c r="J12" i="5"/>
  <c r="I12" i="5"/>
  <c r="D12" i="5"/>
  <c r="K10" i="5"/>
  <c r="J10" i="5"/>
  <c r="I10" i="5"/>
  <c r="D10" i="5"/>
  <c r="D8" i="5"/>
  <c r="K8" i="5"/>
  <c r="J8" i="5"/>
  <c r="I8" i="5"/>
  <c r="L70" i="5" l="1"/>
  <c r="M50" i="5"/>
  <c r="L72" i="5"/>
  <c r="M70" i="5"/>
  <c r="L51" i="5"/>
  <c r="L55" i="5"/>
  <c r="L57" i="5"/>
  <c r="L67" i="5"/>
  <c r="L15" i="5"/>
  <c r="M37" i="5"/>
  <c r="M72" i="5"/>
  <c r="M71" i="5"/>
  <c r="L71" i="5"/>
  <c r="L69" i="5"/>
  <c r="M69" i="5"/>
  <c r="M68" i="5"/>
  <c r="L66" i="5"/>
  <c r="M66" i="5"/>
  <c r="L65" i="5"/>
  <c r="M64" i="5"/>
  <c r="L63" i="5"/>
  <c r="M63" i="5"/>
  <c r="M67" i="5"/>
  <c r="L64" i="5"/>
  <c r="L68" i="5"/>
  <c r="M65" i="5"/>
  <c r="L56" i="5"/>
  <c r="M55" i="5"/>
  <c r="M56" i="5"/>
  <c r="M58" i="5"/>
  <c r="L58" i="5"/>
  <c r="L59" i="5"/>
  <c r="L60" i="5"/>
  <c r="M60" i="5"/>
  <c r="L61" i="5"/>
  <c r="M61" i="5"/>
  <c r="L53" i="5"/>
  <c r="M53" i="5"/>
  <c r="M59" i="5"/>
  <c r="M57" i="5"/>
  <c r="L52" i="5"/>
  <c r="M52" i="5"/>
  <c r="M51" i="5"/>
  <c r="L49" i="5"/>
  <c r="M49" i="5"/>
  <c r="L48" i="5"/>
  <c r="M48" i="5"/>
  <c r="L47" i="5"/>
  <c r="L46" i="5"/>
  <c r="M46" i="5"/>
  <c r="L45" i="5"/>
  <c r="M44" i="5"/>
  <c r="L44" i="5"/>
  <c r="L43" i="5"/>
  <c r="M45" i="5"/>
  <c r="M43" i="5"/>
  <c r="M47" i="5"/>
  <c r="L37" i="5"/>
  <c r="M38" i="5"/>
  <c r="L39" i="5"/>
  <c r="L40" i="5"/>
  <c r="M41" i="5"/>
  <c r="L35" i="5"/>
  <c r="L34" i="5"/>
  <c r="M40" i="5"/>
  <c r="L41" i="5"/>
  <c r="L38" i="5"/>
  <c r="M39" i="5"/>
  <c r="L32" i="5"/>
  <c r="M33" i="5"/>
  <c r="L33" i="5"/>
  <c r="C5" i="3"/>
  <c r="M31" i="5"/>
  <c r="M34" i="5"/>
  <c r="L31" i="5"/>
  <c r="M32" i="5"/>
  <c r="L30" i="5"/>
  <c r="M30" i="5"/>
  <c r="M22" i="5"/>
  <c r="L22" i="5"/>
  <c r="M25" i="5"/>
  <c r="L25" i="5"/>
  <c r="M23" i="5"/>
  <c r="L24" i="5"/>
  <c r="L26" i="5"/>
  <c r="M27" i="5"/>
  <c r="L28" i="5"/>
  <c r="M28" i="5"/>
  <c r="M26" i="5"/>
  <c r="L23" i="5"/>
  <c r="L27" i="5"/>
  <c r="M24" i="5"/>
  <c r="L20" i="5"/>
  <c r="M20" i="5"/>
  <c r="M19" i="5"/>
  <c r="L18" i="5"/>
  <c r="M18" i="5"/>
  <c r="L17" i="5"/>
  <c r="M17" i="5"/>
  <c r="M16" i="5"/>
  <c r="L16" i="5"/>
  <c r="M15" i="5"/>
  <c r="L19" i="5"/>
  <c r="L11" i="5"/>
  <c r="M11" i="5"/>
  <c r="L9" i="5"/>
  <c r="M9" i="5"/>
  <c r="L13" i="5"/>
  <c r="L12" i="5"/>
  <c r="L10" i="5"/>
  <c r="M10" i="5"/>
  <c r="M13" i="5"/>
  <c r="M12" i="5"/>
  <c r="L8" i="5"/>
  <c r="M8" i="5"/>
  <c r="K194" i="1"/>
  <c r="J194" i="1"/>
  <c r="I194" i="1"/>
  <c r="D194" i="1"/>
  <c r="C194" i="1"/>
  <c r="K185" i="1"/>
  <c r="J185" i="1"/>
  <c r="I185" i="1"/>
  <c r="D185" i="1"/>
  <c r="K184" i="1"/>
  <c r="J184" i="1"/>
  <c r="I184" i="1"/>
  <c r="D184" i="1"/>
  <c r="K183" i="1"/>
  <c r="J183" i="1"/>
  <c r="I183" i="1"/>
  <c r="D183" i="1"/>
  <c r="K182" i="1"/>
  <c r="J182" i="1"/>
  <c r="I182" i="1"/>
  <c r="D182" i="1"/>
  <c r="K181" i="1"/>
  <c r="J181" i="1"/>
  <c r="I181" i="1"/>
  <c r="D181" i="1"/>
  <c r="I143" i="1"/>
  <c r="K134" i="1"/>
  <c r="J134" i="1"/>
  <c r="I134" i="1"/>
  <c r="B134" i="1"/>
  <c r="D134" i="1" s="1"/>
  <c r="K141" i="1"/>
  <c r="J141" i="1"/>
  <c r="I141" i="1"/>
  <c r="D141" i="1"/>
  <c r="B141" i="1"/>
  <c r="C141" i="1" s="1"/>
  <c r="L194" i="1" l="1"/>
  <c r="M194" i="1"/>
  <c r="L185" i="1"/>
  <c r="M184" i="1"/>
  <c r="L183" i="1"/>
  <c r="L182" i="1"/>
  <c r="L181" i="1"/>
  <c r="M181" i="1"/>
  <c r="M183" i="1"/>
  <c r="L184" i="1"/>
  <c r="M182" i="1"/>
  <c r="M185" i="1"/>
  <c r="L134" i="1"/>
  <c r="M134" i="1"/>
  <c r="C134" i="1"/>
  <c r="M141" i="1"/>
  <c r="L141" i="1"/>
  <c r="K110" i="1"/>
  <c r="J110" i="1"/>
  <c r="I110" i="1"/>
  <c r="D110" i="1"/>
  <c r="C110" i="1"/>
  <c r="K82" i="1"/>
  <c r="J82" i="1"/>
  <c r="I82" i="1"/>
  <c r="D82" i="1"/>
  <c r="C82" i="1"/>
  <c r="K81" i="1"/>
  <c r="J81" i="1"/>
  <c r="I81" i="1"/>
  <c r="D81" i="1"/>
  <c r="C81" i="1"/>
  <c r="K57" i="1"/>
  <c r="J57" i="1"/>
  <c r="I57" i="1"/>
  <c r="D57" i="1"/>
  <c r="C57" i="1"/>
  <c r="M82" i="1" l="1"/>
  <c r="L110" i="1"/>
  <c r="M110" i="1"/>
  <c r="L81" i="1"/>
  <c r="M81" i="1"/>
  <c r="L82" i="1"/>
  <c r="L57" i="1"/>
  <c r="M57" i="1"/>
  <c r="K50" i="1"/>
  <c r="J50" i="1"/>
  <c r="I50" i="1"/>
  <c r="D50" i="1"/>
  <c r="C50" i="1"/>
  <c r="K49" i="1"/>
  <c r="J49" i="1"/>
  <c r="I49" i="1"/>
  <c r="D49" i="1"/>
  <c r="C49" i="1"/>
  <c r="L50" i="1" l="1"/>
  <c r="L49" i="1"/>
  <c r="M49" i="1"/>
  <c r="M50" i="1"/>
  <c r="K42" i="1"/>
  <c r="J42" i="1"/>
  <c r="I42" i="1"/>
  <c r="D42" i="1"/>
  <c r="C42" i="1"/>
  <c r="K22" i="1"/>
  <c r="J22" i="1"/>
  <c r="I22" i="1"/>
  <c r="D22" i="1"/>
  <c r="C22" i="1"/>
  <c r="L42" i="1" l="1"/>
  <c r="M42" i="1"/>
  <c r="L22" i="1"/>
  <c r="M22" i="1"/>
  <c r="K14" i="1"/>
  <c r="J14" i="1"/>
  <c r="I14" i="1"/>
  <c r="D14" i="1"/>
  <c r="C14" i="1"/>
  <c r="K13" i="1"/>
  <c r="J13" i="1"/>
  <c r="I13" i="1"/>
  <c r="D13" i="1"/>
  <c r="C13" i="1"/>
  <c r="L14" i="1" l="1"/>
  <c r="L13" i="1"/>
  <c r="M14" i="1"/>
  <c r="M13" i="1"/>
  <c r="B213" i="1" l="1"/>
  <c r="D213" i="1" s="1"/>
  <c r="B212" i="1"/>
  <c r="C212" i="1" s="1"/>
  <c r="B211" i="1"/>
  <c r="D211" i="1" s="1"/>
  <c r="K213" i="1"/>
  <c r="J213" i="1"/>
  <c r="I213" i="1"/>
  <c r="C213" i="1"/>
  <c r="K212" i="1"/>
  <c r="J212" i="1"/>
  <c r="I212" i="1"/>
  <c r="D212" i="1"/>
  <c r="K211" i="1"/>
  <c r="J211" i="1"/>
  <c r="I211" i="1"/>
  <c r="K195" i="1"/>
  <c r="J195" i="1"/>
  <c r="I195" i="1"/>
  <c r="D195" i="1"/>
  <c r="C195" i="1"/>
  <c r="K193" i="1"/>
  <c r="J193" i="1"/>
  <c r="I193" i="1"/>
  <c r="D193" i="1"/>
  <c r="C193" i="1"/>
  <c r="K192" i="1"/>
  <c r="J192" i="1"/>
  <c r="I192" i="1"/>
  <c r="D192" i="1"/>
  <c r="C192" i="1"/>
  <c r="K229" i="1"/>
  <c r="J229" i="1"/>
  <c r="I229" i="1"/>
  <c r="D229" i="1"/>
  <c r="K228" i="1"/>
  <c r="J228" i="1"/>
  <c r="I228" i="1"/>
  <c r="D228" i="1"/>
  <c r="C225" i="1"/>
  <c r="D225" i="1"/>
  <c r="I225" i="1"/>
  <c r="J225" i="1"/>
  <c r="K225" i="1"/>
  <c r="C226" i="1"/>
  <c r="D226" i="1"/>
  <c r="I226" i="1"/>
  <c r="J226" i="1"/>
  <c r="K226" i="1"/>
  <c r="K224" i="1"/>
  <c r="J224" i="1"/>
  <c r="I224" i="1"/>
  <c r="D224" i="1"/>
  <c r="C224" i="1"/>
  <c r="K223" i="1"/>
  <c r="J223" i="1"/>
  <c r="I223" i="1"/>
  <c r="D223" i="1"/>
  <c r="C223" i="1"/>
  <c r="K221" i="1"/>
  <c r="J221" i="1"/>
  <c r="I221" i="1"/>
  <c r="D221" i="1"/>
  <c r="K220" i="1"/>
  <c r="J220" i="1"/>
  <c r="I220" i="1"/>
  <c r="D220" i="1"/>
  <c r="K219" i="1"/>
  <c r="J219" i="1"/>
  <c r="I219" i="1"/>
  <c r="D219" i="1"/>
  <c r="K218" i="1"/>
  <c r="J218" i="1"/>
  <c r="I218" i="1"/>
  <c r="D218" i="1"/>
  <c r="B216" i="1"/>
  <c r="B215" i="1"/>
  <c r="D215" i="1" s="1"/>
  <c r="K216" i="1"/>
  <c r="J216" i="1"/>
  <c r="I216" i="1"/>
  <c r="K215" i="1"/>
  <c r="J215" i="1"/>
  <c r="I215" i="1"/>
  <c r="B209" i="1"/>
  <c r="D209" i="1" s="1"/>
  <c r="B208" i="1"/>
  <c r="D208" i="1" s="1"/>
  <c r="B207" i="1"/>
  <c r="C207" i="1" s="1"/>
  <c r="K209" i="1"/>
  <c r="J209" i="1"/>
  <c r="I209" i="1"/>
  <c r="K208" i="1"/>
  <c r="J208" i="1"/>
  <c r="I208" i="1"/>
  <c r="K207" i="1"/>
  <c r="J207" i="1"/>
  <c r="I207" i="1"/>
  <c r="B203" i="1"/>
  <c r="D203" i="1" s="1"/>
  <c r="B204" i="1"/>
  <c r="D204" i="1" s="1"/>
  <c r="B205" i="1"/>
  <c r="D205" i="1" s="1"/>
  <c r="B202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I198" i="1"/>
  <c r="J198" i="1"/>
  <c r="K198" i="1"/>
  <c r="I199" i="1"/>
  <c r="J199" i="1"/>
  <c r="K199" i="1"/>
  <c r="I200" i="1"/>
  <c r="J200" i="1"/>
  <c r="K200" i="1"/>
  <c r="I197" i="1"/>
  <c r="D200" i="1"/>
  <c r="C200" i="1"/>
  <c r="D199" i="1"/>
  <c r="C199" i="1"/>
  <c r="D198" i="1"/>
  <c r="C198" i="1"/>
  <c r="K197" i="1"/>
  <c r="J197" i="1"/>
  <c r="D197" i="1"/>
  <c r="C197" i="1"/>
  <c r="K190" i="1"/>
  <c r="J190" i="1"/>
  <c r="I190" i="1"/>
  <c r="D190" i="1"/>
  <c r="C190" i="1"/>
  <c r="K189" i="1"/>
  <c r="J189" i="1"/>
  <c r="I189" i="1"/>
  <c r="D189" i="1"/>
  <c r="C189" i="1"/>
  <c r="K188" i="1"/>
  <c r="J188" i="1"/>
  <c r="I188" i="1"/>
  <c r="D188" i="1"/>
  <c r="C188" i="1"/>
  <c r="K187" i="1"/>
  <c r="J187" i="1"/>
  <c r="I187" i="1"/>
  <c r="D187" i="1"/>
  <c r="C187" i="1"/>
  <c r="D109" i="1"/>
  <c r="D80" i="1"/>
  <c r="D48" i="1"/>
  <c r="D29" i="1"/>
  <c r="D12" i="1"/>
  <c r="K8" i="1"/>
  <c r="J8" i="1"/>
  <c r="I8" i="1"/>
  <c r="C185" i="1"/>
  <c r="C184" i="1"/>
  <c r="C183" i="1"/>
  <c r="C181" i="1"/>
  <c r="K179" i="1"/>
  <c r="J179" i="1"/>
  <c r="I179" i="1"/>
  <c r="B179" i="1"/>
  <c r="D179" i="1" s="1"/>
  <c r="B178" i="1"/>
  <c r="K178" i="1"/>
  <c r="J178" i="1"/>
  <c r="I178" i="1"/>
  <c r="B176" i="1"/>
  <c r="B175" i="1"/>
  <c r="B174" i="1"/>
  <c r="B173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I170" i="1"/>
  <c r="J170" i="1"/>
  <c r="K170" i="1"/>
  <c r="I171" i="1"/>
  <c r="J171" i="1"/>
  <c r="K171" i="1"/>
  <c r="I162" i="1"/>
  <c r="B171" i="1"/>
  <c r="D171" i="1" s="1"/>
  <c r="B170" i="1"/>
  <c r="D170" i="1" s="1"/>
  <c r="B169" i="1"/>
  <c r="C169" i="1" s="1"/>
  <c r="K169" i="1"/>
  <c r="J169" i="1"/>
  <c r="I169" i="1"/>
  <c r="B167" i="1"/>
  <c r="D167" i="1" s="1"/>
  <c r="B166" i="1"/>
  <c r="D166" i="1" s="1"/>
  <c r="B165" i="1"/>
  <c r="D165" i="1" s="1"/>
  <c r="B164" i="1"/>
  <c r="C164" i="1" s="1"/>
  <c r="K167" i="1"/>
  <c r="J167" i="1"/>
  <c r="I167" i="1"/>
  <c r="K166" i="1"/>
  <c r="J166" i="1"/>
  <c r="I166" i="1"/>
  <c r="K165" i="1"/>
  <c r="J165" i="1"/>
  <c r="I165" i="1"/>
  <c r="K164" i="1"/>
  <c r="J164" i="1"/>
  <c r="I164" i="1"/>
  <c r="J162" i="1"/>
  <c r="K162" i="1"/>
  <c r="J138" i="1"/>
  <c r="I138" i="1"/>
  <c r="I161" i="1"/>
  <c r="B158" i="1"/>
  <c r="D158" i="1" s="1"/>
  <c r="B155" i="1"/>
  <c r="D155" i="1" s="1"/>
  <c r="B162" i="1"/>
  <c r="D162" i="1" s="1"/>
  <c r="B161" i="1"/>
  <c r="D161" i="1" s="1"/>
  <c r="B160" i="1"/>
  <c r="D160" i="1" s="1"/>
  <c r="B159" i="1"/>
  <c r="D159" i="1" s="1"/>
  <c r="C162" i="1"/>
  <c r="K161" i="1"/>
  <c r="J161" i="1"/>
  <c r="K160" i="1"/>
  <c r="J160" i="1"/>
  <c r="I160" i="1"/>
  <c r="K159" i="1"/>
  <c r="J159" i="1"/>
  <c r="I159" i="1"/>
  <c r="K158" i="1"/>
  <c r="J158" i="1"/>
  <c r="I158" i="1"/>
  <c r="B156" i="1"/>
  <c r="C156" i="1" s="1"/>
  <c r="K156" i="1"/>
  <c r="J156" i="1"/>
  <c r="I156" i="1"/>
  <c r="K155" i="1"/>
  <c r="J155" i="1"/>
  <c r="I155" i="1"/>
  <c r="B153" i="1"/>
  <c r="D153" i="1" s="1"/>
  <c r="B152" i="1"/>
  <c r="D152" i="1" s="1"/>
  <c r="B151" i="1"/>
  <c r="D151" i="1" s="1"/>
  <c r="K153" i="1"/>
  <c r="J153" i="1"/>
  <c r="I153" i="1"/>
  <c r="K152" i="1"/>
  <c r="J152" i="1"/>
  <c r="I152" i="1"/>
  <c r="K151" i="1"/>
  <c r="J151" i="1"/>
  <c r="I151" i="1"/>
  <c r="B149" i="1"/>
  <c r="D149" i="1" s="1"/>
  <c r="B148" i="1"/>
  <c r="C148" i="1" s="1"/>
  <c r="B147" i="1"/>
  <c r="D147" i="1" s="1"/>
  <c r="B146" i="1"/>
  <c r="C146" i="1" s="1"/>
  <c r="K149" i="1"/>
  <c r="J149" i="1"/>
  <c r="I149" i="1"/>
  <c r="K148" i="1"/>
  <c r="J148" i="1"/>
  <c r="I148" i="1"/>
  <c r="K147" i="1"/>
  <c r="J147" i="1"/>
  <c r="I147" i="1"/>
  <c r="K146" i="1"/>
  <c r="J146" i="1"/>
  <c r="I146" i="1"/>
  <c r="B144" i="1"/>
  <c r="D144" i="1" s="1"/>
  <c r="B143" i="1"/>
  <c r="D143" i="1" s="1"/>
  <c r="B142" i="1"/>
  <c r="C142" i="1" s="1"/>
  <c r="B140" i="1"/>
  <c r="D140" i="1" s="1"/>
  <c r="K144" i="1"/>
  <c r="J144" i="1"/>
  <c r="I144" i="1"/>
  <c r="K143" i="1"/>
  <c r="J143" i="1"/>
  <c r="K142" i="1"/>
  <c r="J142" i="1"/>
  <c r="I142" i="1"/>
  <c r="K140" i="1"/>
  <c r="J140" i="1"/>
  <c r="I140" i="1"/>
  <c r="B138" i="1"/>
  <c r="C138" i="1" s="1"/>
  <c r="B137" i="1"/>
  <c r="D137" i="1" s="1"/>
  <c r="B135" i="1"/>
  <c r="D135" i="1" s="1"/>
  <c r="B136" i="1"/>
  <c r="C136" i="1" s="1"/>
  <c r="B133" i="1"/>
  <c r="D133" i="1" s="1"/>
  <c r="K138" i="1"/>
  <c r="K137" i="1"/>
  <c r="J137" i="1"/>
  <c r="I137" i="1"/>
  <c r="C137" i="1"/>
  <c r="K136" i="1"/>
  <c r="J136" i="1"/>
  <c r="I136" i="1"/>
  <c r="K135" i="1"/>
  <c r="J135" i="1"/>
  <c r="I135" i="1"/>
  <c r="K133" i="1"/>
  <c r="J133" i="1"/>
  <c r="I133" i="1"/>
  <c r="K131" i="1"/>
  <c r="J131" i="1"/>
  <c r="I131" i="1"/>
  <c r="D131" i="1"/>
  <c r="C131" i="1"/>
  <c r="K130" i="1"/>
  <c r="J130" i="1"/>
  <c r="I130" i="1"/>
  <c r="D130" i="1"/>
  <c r="C130" i="1"/>
  <c r="K129" i="1"/>
  <c r="J129" i="1"/>
  <c r="I129" i="1"/>
  <c r="D129" i="1"/>
  <c r="C129" i="1"/>
  <c r="K128" i="1"/>
  <c r="J128" i="1"/>
  <c r="I128" i="1"/>
  <c r="D128" i="1"/>
  <c r="C128" i="1"/>
  <c r="K126" i="1"/>
  <c r="J126" i="1"/>
  <c r="I126" i="1"/>
  <c r="D126" i="1"/>
  <c r="C126" i="1"/>
  <c r="K125" i="1"/>
  <c r="J125" i="1"/>
  <c r="I125" i="1"/>
  <c r="D125" i="1"/>
  <c r="C125" i="1"/>
  <c r="K124" i="1"/>
  <c r="J124" i="1"/>
  <c r="I124" i="1"/>
  <c r="D124" i="1"/>
  <c r="C124" i="1"/>
  <c r="K123" i="1"/>
  <c r="J123" i="1"/>
  <c r="I123" i="1"/>
  <c r="D123" i="1"/>
  <c r="C123" i="1"/>
  <c r="K121" i="1"/>
  <c r="J121" i="1"/>
  <c r="I121" i="1"/>
  <c r="D121" i="1"/>
  <c r="C121" i="1"/>
  <c r="K120" i="1"/>
  <c r="J120" i="1"/>
  <c r="I120" i="1"/>
  <c r="D120" i="1"/>
  <c r="C120" i="1"/>
  <c r="K119" i="1"/>
  <c r="J119" i="1"/>
  <c r="I119" i="1"/>
  <c r="D119" i="1"/>
  <c r="C119" i="1"/>
  <c r="K118" i="1"/>
  <c r="J118" i="1"/>
  <c r="I118" i="1"/>
  <c r="D118" i="1"/>
  <c r="C118" i="1"/>
  <c r="K116" i="1"/>
  <c r="J116" i="1"/>
  <c r="I116" i="1"/>
  <c r="D116" i="1"/>
  <c r="C116" i="1"/>
  <c r="K115" i="1"/>
  <c r="J115" i="1"/>
  <c r="I115" i="1"/>
  <c r="D115" i="1"/>
  <c r="C115" i="1"/>
  <c r="K114" i="1"/>
  <c r="J114" i="1"/>
  <c r="I114" i="1"/>
  <c r="D114" i="1"/>
  <c r="C114" i="1"/>
  <c r="K113" i="1"/>
  <c r="J113" i="1"/>
  <c r="I113" i="1"/>
  <c r="D113" i="1"/>
  <c r="C113" i="1"/>
  <c r="K112" i="1"/>
  <c r="J112" i="1"/>
  <c r="I112" i="1"/>
  <c r="D112" i="1"/>
  <c r="C112" i="1"/>
  <c r="K109" i="1"/>
  <c r="J109" i="1"/>
  <c r="I109" i="1"/>
  <c r="C109" i="1"/>
  <c r="K108" i="1"/>
  <c r="J108" i="1"/>
  <c r="I108" i="1"/>
  <c r="D108" i="1"/>
  <c r="C108" i="1"/>
  <c r="K107" i="1"/>
  <c r="J107" i="1"/>
  <c r="I107" i="1"/>
  <c r="D107" i="1"/>
  <c r="C107" i="1"/>
  <c r="K106" i="1"/>
  <c r="J106" i="1"/>
  <c r="I106" i="1"/>
  <c r="D106" i="1"/>
  <c r="C106" i="1"/>
  <c r="K105" i="1"/>
  <c r="J105" i="1"/>
  <c r="I105" i="1"/>
  <c r="D105" i="1"/>
  <c r="C105" i="1"/>
  <c r="C101" i="1"/>
  <c r="K103" i="1"/>
  <c r="J103" i="1"/>
  <c r="I103" i="1"/>
  <c r="D103" i="1"/>
  <c r="C103" i="1"/>
  <c r="K102" i="1"/>
  <c r="J102" i="1"/>
  <c r="I102" i="1"/>
  <c r="D102" i="1"/>
  <c r="C102" i="1"/>
  <c r="K101" i="1"/>
  <c r="J101" i="1"/>
  <c r="I101" i="1"/>
  <c r="D101" i="1"/>
  <c r="K99" i="1"/>
  <c r="J99" i="1"/>
  <c r="I99" i="1"/>
  <c r="D99" i="1"/>
  <c r="C99" i="1"/>
  <c r="K98" i="1"/>
  <c r="J98" i="1"/>
  <c r="I98" i="1"/>
  <c r="D98" i="1"/>
  <c r="C98" i="1"/>
  <c r="K97" i="1"/>
  <c r="J97" i="1"/>
  <c r="I97" i="1"/>
  <c r="D97" i="1"/>
  <c r="C97" i="1"/>
  <c r="K96" i="1"/>
  <c r="J96" i="1"/>
  <c r="I96" i="1"/>
  <c r="D96" i="1"/>
  <c r="C96" i="1"/>
  <c r="K94" i="1"/>
  <c r="J94" i="1"/>
  <c r="I94" i="1"/>
  <c r="D94" i="1"/>
  <c r="C94" i="1"/>
  <c r="K93" i="1"/>
  <c r="J93" i="1"/>
  <c r="I93" i="1"/>
  <c r="D93" i="1"/>
  <c r="C93" i="1"/>
  <c r="K92" i="1"/>
  <c r="J92" i="1"/>
  <c r="I92" i="1"/>
  <c r="D92" i="1"/>
  <c r="C92" i="1"/>
  <c r="K91" i="1"/>
  <c r="J91" i="1"/>
  <c r="I91" i="1"/>
  <c r="D91" i="1"/>
  <c r="C91" i="1"/>
  <c r="K90" i="1"/>
  <c r="J90" i="1"/>
  <c r="I90" i="1"/>
  <c r="D90" i="1"/>
  <c r="C90" i="1"/>
  <c r="K88" i="1"/>
  <c r="J88" i="1"/>
  <c r="I88" i="1"/>
  <c r="D88" i="1"/>
  <c r="C88" i="1"/>
  <c r="K87" i="1"/>
  <c r="J87" i="1"/>
  <c r="I87" i="1"/>
  <c r="D87" i="1"/>
  <c r="C87" i="1"/>
  <c r="K86" i="1"/>
  <c r="J86" i="1"/>
  <c r="I86" i="1"/>
  <c r="D86" i="1"/>
  <c r="C86" i="1"/>
  <c r="K85" i="1"/>
  <c r="J85" i="1"/>
  <c r="I85" i="1"/>
  <c r="D85" i="1"/>
  <c r="C85" i="1"/>
  <c r="K84" i="1"/>
  <c r="J84" i="1"/>
  <c r="I84" i="1"/>
  <c r="D84" i="1"/>
  <c r="C84" i="1"/>
  <c r="K80" i="1"/>
  <c r="J80" i="1"/>
  <c r="I80" i="1"/>
  <c r="K79" i="1"/>
  <c r="J79" i="1"/>
  <c r="I79" i="1"/>
  <c r="D79" i="1"/>
  <c r="K78" i="1"/>
  <c r="J78" i="1"/>
  <c r="I78" i="1"/>
  <c r="D78" i="1"/>
  <c r="K77" i="1"/>
  <c r="J77" i="1"/>
  <c r="I77" i="1"/>
  <c r="D77" i="1"/>
  <c r="C80" i="1"/>
  <c r="C79" i="1"/>
  <c r="C78" i="1"/>
  <c r="C77" i="1"/>
  <c r="K75" i="1"/>
  <c r="J75" i="1"/>
  <c r="I75" i="1"/>
  <c r="D75" i="1"/>
  <c r="C75" i="1"/>
  <c r="K74" i="1"/>
  <c r="J74" i="1"/>
  <c r="I74" i="1"/>
  <c r="D74" i="1"/>
  <c r="C74" i="1"/>
  <c r="K73" i="1"/>
  <c r="J73" i="1"/>
  <c r="I73" i="1"/>
  <c r="D73" i="1"/>
  <c r="C73" i="1"/>
  <c r="K72" i="1"/>
  <c r="J72" i="1"/>
  <c r="I72" i="1"/>
  <c r="D72" i="1"/>
  <c r="C72" i="1"/>
  <c r="D45" i="1"/>
  <c r="D46" i="1"/>
  <c r="D47" i="1"/>
  <c r="D70" i="1"/>
  <c r="D69" i="1"/>
  <c r="D68" i="1"/>
  <c r="D67" i="1"/>
  <c r="D66" i="1"/>
  <c r="C70" i="1"/>
  <c r="C69" i="1"/>
  <c r="C68" i="1"/>
  <c r="C67" i="1"/>
  <c r="C66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4" i="1"/>
  <c r="J64" i="1"/>
  <c r="I64" i="1"/>
  <c r="D64" i="1"/>
  <c r="C64" i="1"/>
  <c r="K63" i="1"/>
  <c r="J63" i="1"/>
  <c r="I63" i="1"/>
  <c r="D63" i="1"/>
  <c r="C63" i="1"/>
  <c r="K62" i="1"/>
  <c r="J62" i="1"/>
  <c r="I62" i="1"/>
  <c r="D62" i="1"/>
  <c r="C62" i="1"/>
  <c r="K61" i="1"/>
  <c r="J61" i="1"/>
  <c r="I61" i="1"/>
  <c r="D61" i="1"/>
  <c r="C61" i="1"/>
  <c r="K60" i="1"/>
  <c r="J60" i="1"/>
  <c r="I60" i="1"/>
  <c r="D60" i="1"/>
  <c r="C60" i="1"/>
  <c r="K59" i="1"/>
  <c r="J59" i="1"/>
  <c r="I59" i="1"/>
  <c r="D59" i="1"/>
  <c r="C59" i="1"/>
  <c r="K56" i="1"/>
  <c r="J56" i="1"/>
  <c r="I56" i="1"/>
  <c r="D56" i="1"/>
  <c r="C56" i="1"/>
  <c r="K55" i="1"/>
  <c r="J55" i="1"/>
  <c r="I55" i="1"/>
  <c r="D55" i="1"/>
  <c r="C55" i="1"/>
  <c r="K54" i="1"/>
  <c r="J54" i="1"/>
  <c r="I54" i="1"/>
  <c r="D54" i="1"/>
  <c r="C54" i="1"/>
  <c r="K53" i="1"/>
  <c r="J53" i="1"/>
  <c r="I53" i="1"/>
  <c r="D53" i="1"/>
  <c r="C53" i="1"/>
  <c r="K52" i="1"/>
  <c r="J52" i="1"/>
  <c r="I52" i="1"/>
  <c r="D52" i="1"/>
  <c r="C52" i="1"/>
  <c r="K48" i="1"/>
  <c r="J48" i="1"/>
  <c r="I48" i="1"/>
  <c r="C48" i="1"/>
  <c r="C44" i="1"/>
  <c r="D44" i="1"/>
  <c r="I44" i="1"/>
  <c r="J44" i="1"/>
  <c r="K44" i="1"/>
  <c r="K47" i="1"/>
  <c r="J47" i="1"/>
  <c r="I47" i="1"/>
  <c r="C47" i="1"/>
  <c r="K46" i="1"/>
  <c r="J46" i="1"/>
  <c r="I46" i="1"/>
  <c r="C46" i="1"/>
  <c r="K45" i="1"/>
  <c r="J45" i="1"/>
  <c r="I45" i="1"/>
  <c r="C45" i="1"/>
  <c r="K41" i="1"/>
  <c r="J41" i="1"/>
  <c r="I41" i="1"/>
  <c r="D41" i="1"/>
  <c r="C41" i="1"/>
  <c r="K40" i="1"/>
  <c r="J40" i="1"/>
  <c r="I40" i="1"/>
  <c r="D40" i="1"/>
  <c r="C40" i="1"/>
  <c r="K39" i="1"/>
  <c r="J39" i="1"/>
  <c r="I39" i="1"/>
  <c r="D39" i="1"/>
  <c r="C39" i="1"/>
  <c r="K38" i="1"/>
  <c r="J38" i="1"/>
  <c r="I38" i="1"/>
  <c r="D38" i="1"/>
  <c r="C38" i="1"/>
  <c r="K36" i="1"/>
  <c r="J36" i="1"/>
  <c r="I36" i="1"/>
  <c r="D36" i="1"/>
  <c r="C36" i="1"/>
  <c r="K35" i="1"/>
  <c r="J35" i="1"/>
  <c r="I35" i="1"/>
  <c r="D35" i="1"/>
  <c r="C35" i="1"/>
  <c r="K34" i="1"/>
  <c r="J34" i="1"/>
  <c r="I34" i="1"/>
  <c r="D34" i="1"/>
  <c r="C34" i="1"/>
  <c r="K33" i="1"/>
  <c r="J33" i="1"/>
  <c r="I33" i="1"/>
  <c r="D33" i="1"/>
  <c r="C33" i="1"/>
  <c r="K32" i="1"/>
  <c r="J32" i="1"/>
  <c r="I32" i="1"/>
  <c r="D32" i="1"/>
  <c r="C32" i="1"/>
  <c r="K31" i="1"/>
  <c r="J31" i="1"/>
  <c r="I31" i="1"/>
  <c r="D31" i="1"/>
  <c r="C31" i="1"/>
  <c r="D25" i="1"/>
  <c r="D26" i="1"/>
  <c r="D27" i="1"/>
  <c r="D28" i="1"/>
  <c r="D24" i="1"/>
  <c r="D17" i="1"/>
  <c r="D18" i="1"/>
  <c r="D19" i="1"/>
  <c r="D20" i="1"/>
  <c r="D21" i="1"/>
  <c r="D8" i="1"/>
  <c r="D16" i="1"/>
  <c r="D9" i="1"/>
  <c r="D10" i="1"/>
  <c r="D11" i="1"/>
  <c r="C8" i="1"/>
  <c r="K29" i="1"/>
  <c r="J29" i="1"/>
  <c r="I29" i="1"/>
  <c r="C29" i="1"/>
  <c r="K28" i="1"/>
  <c r="J28" i="1"/>
  <c r="I28" i="1"/>
  <c r="C28" i="1"/>
  <c r="K27" i="1"/>
  <c r="J27" i="1"/>
  <c r="I27" i="1"/>
  <c r="C27" i="1"/>
  <c r="K26" i="1"/>
  <c r="J26" i="1"/>
  <c r="I26" i="1"/>
  <c r="C26" i="1"/>
  <c r="K25" i="1"/>
  <c r="J25" i="1"/>
  <c r="I25" i="1"/>
  <c r="C25" i="1"/>
  <c r="K24" i="1"/>
  <c r="J24" i="1"/>
  <c r="I24" i="1"/>
  <c r="C24" i="1"/>
  <c r="K21" i="1"/>
  <c r="J21" i="1"/>
  <c r="I21" i="1"/>
  <c r="C21" i="1"/>
  <c r="K20" i="1"/>
  <c r="J20" i="1"/>
  <c r="I20" i="1"/>
  <c r="C20" i="1"/>
  <c r="K19" i="1"/>
  <c r="J19" i="1"/>
  <c r="I19" i="1"/>
  <c r="C19" i="1"/>
  <c r="K17" i="1"/>
  <c r="J17" i="1"/>
  <c r="I17" i="1"/>
  <c r="K12" i="1"/>
  <c r="J12" i="1"/>
  <c r="I12" i="1"/>
  <c r="C12" i="1"/>
  <c r="K11" i="1"/>
  <c r="J11" i="1"/>
  <c r="I11" i="1"/>
  <c r="C11" i="1"/>
  <c r="K9" i="1"/>
  <c r="M44" i="1" l="1"/>
  <c r="L26" i="1"/>
  <c r="C202" i="1"/>
  <c r="D202" i="1"/>
  <c r="C174" i="1"/>
  <c r="D174" i="1"/>
  <c r="C175" i="1"/>
  <c r="D175" i="1"/>
  <c r="C176" i="1"/>
  <c r="D176" i="1"/>
  <c r="C178" i="1"/>
  <c r="D178" i="1"/>
  <c r="C216" i="1"/>
  <c r="D216" i="1"/>
  <c r="C173" i="1"/>
  <c r="D173" i="1"/>
  <c r="D207" i="1"/>
  <c r="C135" i="1"/>
  <c r="C144" i="1"/>
  <c r="D138" i="1"/>
  <c r="M52" i="1"/>
  <c r="C215" i="1"/>
  <c r="C147" i="1"/>
  <c r="D146" i="1"/>
  <c r="L147" i="1"/>
  <c r="C140" i="1"/>
  <c r="C152" i="1"/>
  <c r="D169" i="1"/>
  <c r="C203" i="1"/>
  <c r="C208" i="1"/>
  <c r="C204" i="1"/>
  <c r="C209" i="1"/>
  <c r="M28" i="1"/>
  <c r="L55" i="1"/>
  <c r="C153" i="1"/>
  <c r="C155" i="1"/>
  <c r="C170" i="1"/>
  <c r="D136" i="1"/>
  <c r="M143" i="1"/>
  <c r="D148" i="1"/>
  <c r="C149" i="1"/>
  <c r="C158" i="1"/>
  <c r="C159" i="1"/>
  <c r="M161" i="1"/>
  <c r="C165" i="1"/>
  <c r="C166" i="1"/>
  <c r="C167" i="1"/>
  <c r="C171" i="1"/>
  <c r="D164" i="1"/>
  <c r="L8" i="1"/>
  <c r="C211" i="1"/>
  <c r="M61" i="1"/>
  <c r="C143" i="1"/>
  <c r="C133" i="1"/>
  <c r="C160" i="1"/>
  <c r="C161" i="1"/>
  <c r="M64" i="1"/>
  <c r="D156" i="1"/>
  <c r="C205" i="1"/>
  <c r="L46" i="1"/>
  <c r="L108" i="1"/>
  <c r="L148" i="1"/>
  <c r="L152" i="1"/>
  <c r="M8" i="1"/>
  <c r="L226" i="1"/>
  <c r="L216" i="1"/>
  <c r="L195" i="1"/>
  <c r="M162" i="1"/>
  <c r="L223" i="1"/>
  <c r="L211" i="1"/>
  <c r="L225" i="1"/>
  <c r="M192" i="1"/>
  <c r="L106" i="1"/>
  <c r="M123" i="1"/>
  <c r="L151" i="1"/>
  <c r="M165" i="1"/>
  <c r="M170" i="1"/>
  <c r="L188" i="1"/>
  <c r="L158" i="1"/>
  <c r="L189" i="1"/>
  <c r="M213" i="1"/>
  <c r="L212" i="1"/>
  <c r="M195" i="1"/>
  <c r="M211" i="1"/>
  <c r="M212" i="1"/>
  <c r="L213" i="1"/>
  <c r="L198" i="1"/>
  <c r="L208" i="1"/>
  <c r="L193" i="1"/>
  <c r="M193" i="1"/>
  <c r="L192" i="1"/>
  <c r="L197" i="1"/>
  <c r="M209" i="1"/>
  <c r="M225" i="1"/>
  <c r="M228" i="1"/>
  <c r="L229" i="1"/>
  <c r="M229" i="1"/>
  <c r="L228" i="1"/>
  <c r="C228" i="1"/>
  <c r="C229" i="1"/>
  <c r="M226" i="1"/>
  <c r="L224" i="1"/>
  <c r="M224" i="1"/>
  <c r="M223" i="1"/>
  <c r="L221" i="1"/>
  <c r="M221" i="1"/>
  <c r="L220" i="1"/>
  <c r="M220" i="1"/>
  <c r="L219" i="1"/>
  <c r="M219" i="1"/>
  <c r="M218" i="1"/>
  <c r="L218" i="1"/>
  <c r="C218" i="1"/>
  <c r="C219" i="1"/>
  <c r="C220" i="1"/>
  <c r="C221" i="1"/>
  <c r="M216" i="1"/>
  <c r="L215" i="1"/>
  <c r="M215" i="1"/>
  <c r="L209" i="1"/>
  <c r="M208" i="1"/>
  <c r="M207" i="1"/>
  <c r="L207" i="1"/>
  <c r="L205" i="1"/>
  <c r="L204" i="1"/>
  <c r="M203" i="1"/>
  <c r="M202" i="1"/>
  <c r="L203" i="1"/>
  <c r="M205" i="1"/>
  <c r="M204" i="1"/>
  <c r="L202" i="1"/>
  <c r="M200" i="1"/>
  <c r="L199" i="1"/>
  <c r="M199" i="1"/>
  <c r="M198" i="1"/>
  <c r="M197" i="1"/>
  <c r="L200" i="1"/>
  <c r="L190" i="1"/>
  <c r="M190" i="1"/>
  <c r="M189" i="1"/>
  <c r="M188" i="1"/>
  <c r="M187" i="1"/>
  <c r="L187" i="1"/>
  <c r="C182" i="1"/>
  <c r="L179" i="1"/>
  <c r="M179" i="1"/>
  <c r="C179" i="1"/>
  <c r="L178" i="1"/>
  <c r="M178" i="1"/>
  <c r="L176" i="1"/>
  <c r="M176" i="1"/>
  <c r="M175" i="1"/>
  <c r="L173" i="1"/>
  <c r="L174" i="1"/>
  <c r="L175" i="1"/>
  <c r="M173" i="1"/>
  <c r="M174" i="1"/>
  <c r="L171" i="1"/>
  <c r="M171" i="1"/>
  <c r="L170" i="1"/>
  <c r="L169" i="1"/>
  <c r="M169" i="1"/>
  <c r="L167" i="1"/>
  <c r="M167" i="1"/>
  <c r="L166" i="1"/>
  <c r="L165" i="1"/>
  <c r="M164" i="1"/>
  <c r="M166" i="1"/>
  <c r="L164" i="1"/>
  <c r="L162" i="1"/>
  <c r="L160" i="1"/>
  <c r="M160" i="1"/>
  <c r="M158" i="1"/>
  <c r="M159" i="1"/>
  <c r="L161" i="1"/>
  <c r="L159" i="1"/>
  <c r="M156" i="1"/>
  <c r="L155" i="1"/>
  <c r="L156" i="1"/>
  <c r="M155" i="1"/>
  <c r="L153" i="1"/>
  <c r="M152" i="1"/>
  <c r="M151" i="1"/>
  <c r="M153" i="1"/>
  <c r="C151" i="1"/>
  <c r="L149" i="1"/>
  <c r="M149" i="1"/>
  <c r="M147" i="1"/>
  <c r="M146" i="1"/>
  <c r="M148" i="1"/>
  <c r="L146" i="1"/>
  <c r="M144" i="1"/>
  <c r="L143" i="1"/>
  <c r="M142" i="1"/>
  <c r="L140" i="1"/>
  <c r="M140" i="1"/>
  <c r="L144" i="1"/>
  <c r="D142" i="1"/>
  <c r="L142" i="1"/>
  <c r="L138" i="1"/>
  <c r="M138" i="1"/>
  <c r="L136" i="1"/>
  <c r="M135" i="1"/>
  <c r="M133" i="1"/>
  <c r="L133" i="1"/>
  <c r="L135" i="1"/>
  <c r="L137" i="1"/>
  <c r="M136" i="1"/>
  <c r="M137" i="1"/>
  <c r="L131" i="1"/>
  <c r="M131" i="1"/>
  <c r="L130" i="1"/>
  <c r="M130" i="1"/>
  <c r="L129" i="1"/>
  <c r="M129" i="1"/>
  <c r="M128" i="1"/>
  <c r="L128" i="1"/>
  <c r="L126" i="1"/>
  <c r="M126" i="1"/>
  <c r="L125" i="1"/>
  <c r="L124" i="1"/>
  <c r="L123" i="1"/>
  <c r="M124" i="1"/>
  <c r="M125" i="1"/>
  <c r="L121" i="1"/>
  <c r="M121" i="1"/>
  <c r="L120" i="1"/>
  <c r="M120" i="1"/>
  <c r="M118" i="1"/>
  <c r="M119" i="1"/>
  <c r="L118" i="1"/>
  <c r="L119" i="1"/>
  <c r="L116" i="1"/>
  <c r="M116" i="1"/>
  <c r="M114" i="1"/>
  <c r="L31" i="1"/>
  <c r="M34" i="1"/>
  <c r="L44" i="1"/>
  <c r="M93" i="1"/>
  <c r="L114" i="1"/>
  <c r="L115" i="1"/>
  <c r="M55" i="1"/>
  <c r="L75" i="1"/>
  <c r="L87" i="1"/>
  <c r="L107" i="1"/>
  <c r="M112" i="1"/>
  <c r="L113" i="1"/>
  <c r="M115" i="1"/>
  <c r="L112" i="1"/>
  <c r="M113" i="1"/>
  <c r="M109" i="1"/>
  <c r="M108" i="1"/>
  <c r="L109" i="1"/>
  <c r="M106" i="1"/>
  <c r="L105" i="1"/>
  <c r="M107" i="1"/>
  <c r="M105" i="1"/>
  <c r="M103" i="1"/>
  <c r="M102" i="1"/>
  <c r="M101" i="1"/>
  <c r="L102" i="1"/>
  <c r="L103" i="1"/>
  <c r="L101" i="1"/>
  <c r="L99" i="1"/>
  <c r="M99" i="1"/>
  <c r="L98" i="1"/>
  <c r="M98" i="1"/>
  <c r="M96" i="1"/>
  <c r="L97" i="1"/>
  <c r="L96" i="1"/>
  <c r="M97" i="1"/>
  <c r="L94" i="1"/>
  <c r="M94" i="1"/>
  <c r="L93" i="1"/>
  <c r="M91" i="1"/>
  <c r="M90" i="1"/>
  <c r="L90" i="1"/>
  <c r="M92" i="1"/>
  <c r="L91" i="1"/>
  <c r="L92" i="1"/>
  <c r="L88" i="1"/>
  <c r="L86" i="1"/>
  <c r="M84" i="1"/>
  <c r="L85" i="1"/>
  <c r="M87" i="1"/>
  <c r="M85" i="1"/>
  <c r="M86" i="1"/>
  <c r="M88" i="1"/>
  <c r="L84" i="1"/>
  <c r="L80" i="1"/>
  <c r="M80" i="1"/>
  <c r="M78" i="1"/>
  <c r="M77" i="1"/>
  <c r="M79" i="1"/>
  <c r="L78" i="1"/>
  <c r="L77" i="1"/>
  <c r="L79" i="1"/>
  <c r="L74" i="1"/>
  <c r="M74" i="1"/>
  <c r="L73" i="1"/>
  <c r="M72" i="1"/>
  <c r="L72" i="1"/>
  <c r="M73" i="1"/>
  <c r="M75" i="1"/>
  <c r="M70" i="1"/>
  <c r="L69" i="1"/>
  <c r="M69" i="1"/>
  <c r="L68" i="1"/>
  <c r="M67" i="1"/>
  <c r="M66" i="1"/>
  <c r="L66" i="1"/>
  <c r="M68" i="1"/>
  <c r="L70" i="1"/>
  <c r="L67" i="1"/>
  <c r="L62" i="1"/>
  <c r="M62" i="1"/>
  <c r="L59" i="1"/>
  <c r="M60" i="1"/>
  <c r="L63" i="1"/>
  <c r="L61" i="1"/>
  <c r="M59" i="1"/>
  <c r="M63" i="1"/>
  <c r="L60" i="1"/>
  <c r="L64" i="1"/>
  <c r="L56" i="1"/>
  <c r="L53" i="1"/>
  <c r="L52" i="1"/>
  <c r="M54" i="1"/>
  <c r="M53" i="1"/>
  <c r="M56" i="1"/>
  <c r="L54" i="1"/>
  <c r="L48" i="1"/>
  <c r="M48" i="1"/>
  <c r="L47" i="1"/>
  <c r="L45" i="1"/>
  <c r="M45" i="1"/>
  <c r="M46" i="1"/>
  <c r="M47" i="1"/>
  <c r="L41" i="1"/>
  <c r="L40" i="1"/>
  <c r="L39" i="1"/>
  <c r="L38" i="1"/>
  <c r="M38" i="1"/>
  <c r="M40" i="1"/>
  <c r="M39" i="1"/>
  <c r="M41" i="1"/>
  <c r="L36" i="1"/>
  <c r="M36" i="1"/>
  <c r="L35" i="1"/>
  <c r="M35" i="1"/>
  <c r="L34" i="1"/>
  <c r="M32" i="1"/>
  <c r="M31" i="1"/>
  <c r="M33" i="1"/>
  <c r="L32" i="1"/>
  <c r="L33" i="1"/>
  <c r="L29" i="1"/>
  <c r="L27" i="1"/>
  <c r="M25" i="1"/>
  <c r="M26" i="1"/>
  <c r="M24" i="1"/>
  <c r="M27" i="1"/>
  <c r="L24" i="1"/>
  <c r="L25" i="1"/>
  <c r="L28" i="1"/>
  <c r="M29" i="1"/>
  <c r="L21" i="1"/>
  <c r="M21" i="1"/>
  <c r="L20" i="1"/>
  <c r="M20" i="1"/>
  <c r="L12" i="1"/>
  <c r="L19" i="1"/>
  <c r="M19" i="1"/>
  <c r="L17" i="1"/>
  <c r="M17" i="1"/>
  <c r="M12" i="1"/>
  <c r="M11" i="1"/>
  <c r="L11" i="1"/>
  <c r="K18" i="1"/>
  <c r="J18" i="1"/>
  <c r="I18" i="1"/>
  <c r="C18" i="1"/>
  <c r="K16" i="1"/>
  <c r="J16" i="1"/>
  <c r="I16" i="1"/>
  <c r="C17" i="1"/>
  <c r="C16" i="1"/>
  <c r="K10" i="1"/>
  <c r="J10" i="1"/>
  <c r="I10" i="1"/>
  <c r="C10" i="1"/>
  <c r="C9" i="1"/>
  <c r="J9" i="1"/>
  <c r="I9" i="1"/>
  <c r="L18" i="1" l="1"/>
  <c r="L10" i="1"/>
  <c r="L16" i="1"/>
  <c r="L9" i="1"/>
  <c r="M10" i="1"/>
  <c r="M18" i="1"/>
  <c r="M16" i="1"/>
  <c r="M9" i="1"/>
</calcChain>
</file>

<file path=xl/sharedStrings.xml><?xml version="1.0" encoding="utf-8"?>
<sst xmlns="http://schemas.openxmlformats.org/spreadsheetml/2006/main" count="242" uniqueCount="101">
  <si>
    <t>Berechnet für Continuous Conduction Mode</t>
  </si>
  <si>
    <t>U2/U1</t>
  </si>
  <si>
    <t>P2/P1</t>
  </si>
  <si>
    <t>d</t>
  </si>
  <si>
    <t>Ch1</t>
  </si>
  <si>
    <t>CH2</t>
  </si>
  <si>
    <t>CH3</t>
  </si>
  <si>
    <t>CH4</t>
  </si>
  <si>
    <t>comment</t>
  </si>
  <si>
    <t>Gerät</t>
  </si>
  <si>
    <t>Art</t>
  </si>
  <si>
    <t>Verwendung</t>
  </si>
  <si>
    <t>Anzahl</t>
  </si>
  <si>
    <t>Tektronix AFG3022B</t>
  </si>
  <si>
    <t>Funktionsgenerator</t>
  </si>
  <si>
    <t>Schalter-Ansteuersignal</t>
  </si>
  <si>
    <t>Tektronix DMM 4040 6-1/2</t>
  </si>
  <si>
    <t>Digitales Multimeter</t>
  </si>
  <si>
    <t>Labor Netzteil</t>
  </si>
  <si>
    <t>Digitales Oszilloskop</t>
  </si>
  <si>
    <t>Messsignale im Zeitbereich</t>
  </si>
  <si>
    <t>Vout,Iout, Vin, Iin  RMS Messung</t>
  </si>
  <si>
    <t>Tektronix MSO 3034</t>
  </si>
  <si>
    <t>Versorgung DCDC, Treiber</t>
  </si>
  <si>
    <t>GWINSTEK SPD-3606</t>
  </si>
  <si>
    <t>Elektronische Last</t>
  </si>
  <si>
    <t>GOSSEN METRAWATT 32EL300R30</t>
  </si>
  <si>
    <t>Stellbare Ohm'sche Last</t>
  </si>
  <si>
    <t>Messwerte</t>
  </si>
  <si>
    <t>Rechenwerte</t>
  </si>
  <si>
    <t>Stellwert</t>
  </si>
  <si>
    <t>U1 [V]</t>
  </si>
  <si>
    <t>I1 [A]</t>
  </si>
  <si>
    <t>U2 [V]</t>
  </si>
  <si>
    <t>I2 [A]</t>
  </si>
  <si>
    <t>P1 [W]</t>
  </si>
  <si>
    <t>P2 [W]</t>
  </si>
  <si>
    <t>Pdiff [W]</t>
  </si>
  <si>
    <t>HIKMICRO HM-TP42-3AQF/W-Pocket2</t>
  </si>
  <si>
    <t>Thermo Kamera</t>
  </si>
  <si>
    <t>Halbleiter Temperaturüberwachung</t>
  </si>
  <si>
    <t>Ansteuerung</t>
  </si>
  <si>
    <t>Ü</t>
  </si>
  <si>
    <t>Ü_ideal</t>
  </si>
  <si>
    <t>Messung</t>
  </si>
  <si>
    <t>Name</t>
  </si>
  <si>
    <r>
      <t>R_L [</t>
    </r>
    <r>
      <rPr>
        <b/>
        <sz val="11"/>
        <color theme="1"/>
        <rFont val="Arial"/>
        <family val="2"/>
      </rPr>
      <t>Ω</t>
    </r>
    <r>
      <rPr>
        <b/>
        <sz val="11"/>
        <color theme="1"/>
        <rFont val="Calibri"/>
        <family val="2"/>
      </rPr>
      <t>]</t>
    </r>
  </si>
  <si>
    <t>d und U1 werden nährungsweise Konstant gehalten / jeder erste Wert in einem Messreihen block ist nahe am "Anfang des CCM" =&gt; critical conduction mode aufgenommen</t>
  </si>
  <si>
    <t>SerienWdst des Kabels ist hier nicht mit erfasst</t>
  </si>
  <si>
    <t>Wirkungsgradkurven</t>
  </si>
  <si>
    <t>U1 und U2 werden nährungsweise Konstant gehalten, Converter im dcm und ccm Betrieb je nach Last</t>
  </si>
  <si>
    <t>Betriebszustand</t>
  </si>
  <si>
    <t>M</t>
  </si>
  <si>
    <t>dcm</t>
  </si>
  <si>
    <t>ccm</t>
  </si>
  <si>
    <t>tek00000</t>
  </si>
  <si>
    <t>SIG1</t>
  </si>
  <si>
    <t>SIG2</t>
  </si>
  <si>
    <t>IL11</t>
  </si>
  <si>
    <t>Oszi-Bild</t>
  </si>
  <si>
    <t>Thermo-Bild</t>
  </si>
  <si>
    <t>HM20260313095043</t>
  </si>
  <si>
    <t>tek00001</t>
  </si>
  <si>
    <t>HM20260313101050</t>
  </si>
  <si>
    <t>-</t>
  </si>
  <si>
    <t>tek00003</t>
  </si>
  <si>
    <t>dcm, schwierige Messdatenerfassung aufgrund von leichtem schwingen im System</t>
  </si>
  <si>
    <t>tek00004</t>
  </si>
  <si>
    <t>tek00005</t>
  </si>
  <si>
    <t>tek00006</t>
  </si>
  <si>
    <t>Ohmsche Last</t>
  </si>
  <si>
    <t>Passiver Leistungswiderstand mit Kühlkörper</t>
  </si>
  <si>
    <t>tek00007</t>
  </si>
  <si>
    <t>tek00008</t>
  </si>
  <si>
    <t>tek00009</t>
  </si>
  <si>
    <t>tek00010</t>
  </si>
  <si>
    <t>HM20260313133236</t>
  </si>
  <si>
    <t>passiver wdst</t>
  </si>
  <si>
    <t>ccm, strombegrenzt durch Netzteil Ausgangsstrom</t>
  </si>
  <si>
    <t>tek00011</t>
  </si>
  <si>
    <t>HM20260313144957, HM20260313145028</t>
  </si>
  <si>
    <t>Referenz [M_d_Vin_Vout_Pout]</t>
  </si>
  <si>
    <t>Ref [M_d_Vin_Vout_Pout]</t>
  </si>
  <si>
    <t>1k Ohm Leistungswiderstand</t>
  </si>
  <si>
    <t>Thermische EInschwingzeit: 2-5 min</t>
  </si>
  <si>
    <t>TCP202 AC/DC Current Probe</t>
  </si>
  <si>
    <t>Strommesszange</t>
  </si>
  <si>
    <t>Isolierte Strommessung im Zeitbereich</t>
  </si>
  <si>
    <t>Ordner:</t>
  </si>
  <si>
    <t>Ref Messung für Stationäre Messungen</t>
  </si>
  <si>
    <t>nach messung am 07.05.2026</t>
  </si>
  <si>
    <t>IL21</t>
  </si>
  <si>
    <t>P1[W]</t>
  </si>
  <si>
    <t>P2[W]</t>
  </si>
  <si>
    <t>Simulation 12V\_24V\_20$\Omega$</t>
  </si>
  <si>
    <t>Simulation 24V\_48V\_25$\Omega$</t>
  </si>
  <si>
    <t>Messung 12V\_24V\_20$\Omega$</t>
  </si>
  <si>
    <t>Messung 24V\_48V\_25$\Omega$</t>
  </si>
  <si>
    <t>η [\%]</t>
  </si>
  <si>
    <t>Arbeitspunkt Betrachtung</t>
  </si>
  <si>
    <t>d [\%]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</si>
</sst>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Alignment="1">
      <alignment horizontal="right"/>
    </xf>
    <xf numFmtId="0" fontId="6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500" b="1" i="0"/>
              <a:t>Übersetzung</a:t>
            </a:r>
            <a:r>
              <a:rPr lang="de-AT" sz="1500" b="1" i="0" baseline="0"/>
              <a:t>sverhältnis über Tastgrad im KLB des Typ 4 bei verschiedenen Eingangsspannungen</a:t>
            </a:r>
            <a:endParaRPr lang="de-AT" sz="1500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>
        <c:manualLayout>
          <c:layoutTarget val="inner"/>
          <c:xMode val="edge"/>
          <c:yMode val="edge"/>
          <c:x val="3.839928037210389E-2"/>
          <c:y val="5.7540807399075113E-2"/>
          <c:w val="0.93281951122804196"/>
          <c:h val="0.87044422955902445"/>
        </c:manualLayout>
      </c:layout>
      <c:scatterChart>
        <c:scatterStyle val="smoothMarker"/>
        <c:varyColors val="0"/>
        <c:ser>
          <c:idx val="1"/>
          <c:order val="0"/>
          <c:tx>
            <c:v>Übersetzung_Ideal</c:v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(Uebersetzung_ccm!$B$8,Uebersetzung_ccm!$B$44,Uebersetzung_ccm!$B$77,Uebersetzung_ccm!$B$105,Uebersetzung_ccm!$B$133,Uebersetzung_ccm!$B$158,Uebersetzung_ccm!$B$181,Uebersetzung_ccm!$B$202,Uebersetzung_ccm!$B$218)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 formatCode="0.000">
                  <c:v>0.33333333333333331</c:v>
                </c:pt>
                <c:pt idx="5" formatCode="0.000">
                  <c:v>0.375</c:v>
                </c:pt>
                <c:pt idx="6" formatCode="0.000">
                  <c:v>0.4</c:v>
                </c:pt>
                <c:pt idx="7" formatCode="0.000">
                  <c:v>0.42857142857142855</c:v>
                </c:pt>
                <c:pt idx="8" formatCode="0.000">
                  <c:v>0.45</c:v>
                </c:pt>
              </c:numCache>
            </c:numRef>
          </c:xVal>
          <c:yVal>
            <c:numRef>
              <c:f>(Uebersetzung_ccm!$C$8,Uebersetzung_ccm!$C$44,Uebersetzung_ccm!$C$77,Uebersetzung_ccm!$C$105,Uebersetzung_ccm!$C$133,Uebersetzung_ccm!$C$158,Uebersetzung_ccm!$C$181,Uebersetzung_ccm!$C$202,Uebersetzung_ccm!$C$218)</c:f>
              <c:numCache>
                <c:formatCode>0.000</c:formatCode>
                <c:ptCount val="9"/>
                <c:pt idx="0">
                  <c:v>1.1111111111111112</c:v>
                </c:pt>
                <c:pt idx="1">
                  <c:v>1.25</c:v>
                </c:pt>
                <c:pt idx="2">
                  <c:v>1.6666666666666667</c:v>
                </c:pt>
                <c:pt idx="3">
                  <c:v>2</c:v>
                </c:pt>
                <c:pt idx="4">
                  <c:v>2.9999999999999996</c:v>
                </c:pt>
                <c:pt idx="5">
                  <c:v>4</c:v>
                </c:pt>
                <c:pt idx="6">
                  <c:v>5.0000000000000009</c:v>
                </c:pt>
                <c:pt idx="7">
                  <c:v>6.9999999999999973</c:v>
                </c:pt>
                <c:pt idx="8">
                  <c:v>10.000000000000002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F5-431E-91A6-3AB4157C3616}"/>
            </c:ext>
          </c:extLst>
        </c:ser>
        <c:ser>
          <c:idx val="0"/>
          <c:order val="1"/>
          <c:tx>
            <c:v>3,3 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(Uebersetzung_ccm!$B$8,Uebersetzung_ccm!$B$44,Uebersetzung_ccm!$B$77,Uebersetzung_ccm!$B$105,Uebersetzung_ccm!$B$133,Uebersetzung_ccm!$B$158,Uebersetzung_ccm!$B$181,Uebersetzung_ccm!$B$202,Uebersetzung_ccm!$B$218)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 formatCode="0.000">
                  <c:v>0.33333333333333331</c:v>
                </c:pt>
                <c:pt idx="5" formatCode="0.000">
                  <c:v>0.375</c:v>
                </c:pt>
                <c:pt idx="6" formatCode="0.000">
                  <c:v>0.4</c:v>
                </c:pt>
                <c:pt idx="7" formatCode="0.000">
                  <c:v>0.42857142857142855</c:v>
                </c:pt>
                <c:pt idx="8" formatCode="0.000">
                  <c:v>0.45</c:v>
                </c:pt>
              </c:numCache>
            </c:numRef>
          </c:xVal>
          <c:yVal>
            <c:numRef>
              <c:f>(Uebersetzung_ccm!$I$8,Uebersetzung_ccm!$I$44,Uebersetzung_ccm!$I$77,Uebersetzung_ccm!$I$105,Uebersetzung_ccm!$I$133,Uebersetzung_ccm!$I$158,Uebersetzung_ccm!$I$181,Uebersetzung_ccm!$I$202,Uebersetzung_ccm!$I$218)</c:f>
              <c:numCache>
                <c:formatCode>0.000</c:formatCode>
                <c:ptCount val="9"/>
                <c:pt idx="0">
                  <c:v>0.93134183804724502</c:v>
                </c:pt>
                <c:pt idx="1">
                  <c:v>1.0467652047492124</c:v>
                </c:pt>
                <c:pt idx="2">
                  <c:v>1.4024113174396413</c:v>
                </c:pt>
                <c:pt idx="3">
                  <c:v>1.7065319755206112</c:v>
                </c:pt>
                <c:pt idx="4">
                  <c:v>2.6593197278911562</c:v>
                </c:pt>
                <c:pt idx="5">
                  <c:v>3.6053268765133177</c:v>
                </c:pt>
                <c:pt idx="6">
                  <c:v>4.4872881355932206</c:v>
                </c:pt>
                <c:pt idx="7">
                  <c:v>6.5228008593820928</c:v>
                </c:pt>
                <c:pt idx="8">
                  <c:v>9.7985825054519022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5-431E-91A6-3AB4157C3616}"/>
            </c:ext>
          </c:extLst>
        </c:ser>
        <c:ser>
          <c:idx val="2"/>
          <c:order val="2"/>
          <c:tx>
            <c:v>5 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(Uebersetzung_ccm!$B$16,Uebersetzung_ccm!$B$52,Uebersetzung_ccm!$B$84,Uebersetzung_ccm!$B$112,Uebersetzung_ccm!$B$140,Uebersetzung_ccm!$B$164,Uebersetzung_ccm!$B$187,Uebersetzung_ccm!$B$207,Uebersetzung_ccm!$B$223)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 formatCode="0.000">
                  <c:v>0.33333333333333331</c:v>
                </c:pt>
                <c:pt idx="5" formatCode="0.000">
                  <c:v>0.375</c:v>
                </c:pt>
                <c:pt idx="6" formatCode="0.000">
                  <c:v>0.4</c:v>
                </c:pt>
                <c:pt idx="7" formatCode="0.000">
                  <c:v>0.42857142857142855</c:v>
                </c:pt>
                <c:pt idx="8" formatCode="0.000">
                  <c:v>0.45</c:v>
                </c:pt>
              </c:numCache>
            </c:numRef>
          </c:xVal>
          <c:yVal>
            <c:numRef>
              <c:f>(Uebersetzung_ccm!$I$16,Uebersetzung_ccm!$I$52,Uebersetzung_ccm!$I$84,Uebersetzung_ccm!$I$112,Uebersetzung_ccm!$I$140,Uebersetzung_ccm!$I$164,Uebersetzung_ccm!$I$187,Uebersetzung_ccm!$I$207,Uebersetzung_ccm!$I$223)</c:f>
              <c:numCache>
                <c:formatCode>0.000</c:formatCode>
                <c:ptCount val="9"/>
                <c:pt idx="0">
                  <c:v>1.0010583465875795</c:v>
                </c:pt>
                <c:pt idx="1">
                  <c:v>1.1211909792953998</c:v>
                </c:pt>
                <c:pt idx="2">
                  <c:v>1.5027845978801126</c:v>
                </c:pt>
                <c:pt idx="3">
                  <c:v>1.8164462265844754</c:v>
                </c:pt>
                <c:pt idx="4">
                  <c:v>2.8076255115280966</c:v>
                </c:pt>
                <c:pt idx="5">
                  <c:v>3.7986045860738491</c:v>
                </c:pt>
                <c:pt idx="6">
                  <c:v>4.7889726299087663</c:v>
                </c:pt>
                <c:pt idx="7">
                  <c:v>6.9285628670741941</c:v>
                </c:pt>
                <c:pt idx="8">
                  <c:v>10.442240793314406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F5-431E-91A6-3AB4157C3616}"/>
            </c:ext>
          </c:extLst>
        </c:ser>
        <c:ser>
          <c:idx val="3"/>
          <c:order val="3"/>
          <c:tx>
            <c:v>9 V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(Uebersetzung_ccm!$B$24,Uebersetzung_ccm!$B$59,Uebersetzung_ccm!$B$90,Uebersetzung_ccm!$B$118,Uebersetzung_ccm!$B$146,Uebersetzung_ccm!$B$169,Uebersetzung_ccm!$B$192,Uebersetzung_ccm!$B$211,Uebersetzung_ccm!$B$228)</c:f>
              <c:numCache>
                <c:formatCode>General</c:formatCode>
                <c:ptCount val="9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 formatCode="0.000">
                  <c:v>0.33333333333333331</c:v>
                </c:pt>
                <c:pt idx="5" formatCode="0.000">
                  <c:v>0.375</c:v>
                </c:pt>
                <c:pt idx="6" formatCode="0.000">
                  <c:v>0.4</c:v>
                </c:pt>
                <c:pt idx="7" formatCode="0.000">
                  <c:v>0.42857142857142855</c:v>
                </c:pt>
                <c:pt idx="8" formatCode="0.000">
                  <c:v>0.45</c:v>
                </c:pt>
              </c:numCache>
            </c:numRef>
          </c:xVal>
          <c:yVal>
            <c:numRef>
              <c:f>(Uebersetzung_ccm!$I$24,Uebersetzung_ccm!$I$59,Uebersetzung_ccm!$I$90,Uebersetzung_ccm!$I$118,Uebersetzung_ccm!$I$146,Uebersetzung_ccm!$I$169,Uebersetzung_ccm!$I$192,Uebersetzung_ccm!$I$211,Uebersetzung_ccm!$I$228)</c:f>
              <c:numCache>
                <c:formatCode>0.000</c:formatCode>
                <c:ptCount val="9"/>
                <c:pt idx="0">
                  <c:v>1.0737276812826431</c:v>
                </c:pt>
                <c:pt idx="1">
                  <c:v>1.1877997327192318</c:v>
                </c:pt>
                <c:pt idx="2">
                  <c:v>1.5887110212515414</c:v>
                </c:pt>
                <c:pt idx="3">
                  <c:v>1.9154228855721396</c:v>
                </c:pt>
                <c:pt idx="4">
                  <c:v>2.9364815061498155</c:v>
                </c:pt>
                <c:pt idx="5">
                  <c:v>3.9995559995559988</c:v>
                </c:pt>
                <c:pt idx="6">
                  <c:v>5.0452619200816482</c:v>
                </c:pt>
                <c:pt idx="7">
                  <c:v>7.3854204859838015</c:v>
                </c:pt>
                <c:pt idx="8">
                  <c:v>11.418596918984818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F5-431E-91A6-3AB4157C3616}"/>
            </c:ext>
          </c:extLst>
        </c:ser>
        <c:ser>
          <c:idx val="4"/>
          <c:order val="4"/>
          <c:tx>
            <c:v>12 V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(Uebersetzung_ccm!$B$31,Uebersetzung_ccm!$B$66,Uebersetzung_ccm!$B$96,Uebersetzung_ccm!$B$123,Uebersetzung_ccm!$B$151,Uebersetzung_ccm!$B$173,Uebersetzung_ccm!$B$197,Uebersetzung_ccm!$B$215)</c:f>
              <c:numCache>
                <c:formatCode>General</c:formatCode>
                <c:ptCount val="8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 formatCode="0.000">
                  <c:v>0.33333333333333331</c:v>
                </c:pt>
                <c:pt idx="5" formatCode="0.000">
                  <c:v>0.375</c:v>
                </c:pt>
                <c:pt idx="6" formatCode="0.000">
                  <c:v>0.4</c:v>
                </c:pt>
                <c:pt idx="7" formatCode="0.000">
                  <c:v>0.42857142857142855</c:v>
                </c:pt>
              </c:numCache>
            </c:numRef>
          </c:xVal>
          <c:yVal>
            <c:numRef>
              <c:f>(Uebersetzung_ccm!$I$31,Uebersetzung_ccm!$I$66,Uebersetzung_ccm!$I$96,Uebersetzung_ccm!$I$123,Uebersetzung_ccm!$I$151,Uebersetzung_ccm!$I$173,Uebersetzung_ccm!$I$197,Uebersetzung_ccm!$I$215)</c:f>
              <c:numCache>
                <c:formatCode>0.000</c:formatCode>
                <c:ptCount val="8"/>
                <c:pt idx="0">
                  <c:v>1.092151308115314</c:v>
                </c:pt>
                <c:pt idx="1">
                  <c:v>1.2140774677217825</c:v>
                </c:pt>
                <c:pt idx="2">
                  <c:v>1.6212171599600931</c:v>
                </c:pt>
                <c:pt idx="3">
                  <c:v>1.9520177206335461</c:v>
                </c:pt>
                <c:pt idx="4">
                  <c:v>2.9840912876894885</c:v>
                </c:pt>
                <c:pt idx="5">
                  <c:v>4.0641995841995842</c:v>
                </c:pt>
                <c:pt idx="6">
                  <c:v>5.1454604512480531</c:v>
                </c:pt>
                <c:pt idx="7">
                  <c:v>7.6191308691308688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AF5-431E-91A6-3AB4157C3616}"/>
            </c:ext>
          </c:extLst>
        </c:ser>
        <c:ser>
          <c:idx val="5"/>
          <c:order val="5"/>
          <c:tx>
            <c:v>24 V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(Uebersetzung_ccm!$B$38,Uebersetzung_ccm!$B$72,Uebersetzung_ccm!$B$101,Uebersetzung_ccm!$B$128,Uebersetzung_ccm!$B$155,Uebersetzung_ccm!$B$178)</c:f>
              <c:numCache>
                <c:formatCode>General</c:formatCode>
                <c:ptCount val="6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 formatCode="0.000">
                  <c:v>0.33333333333333331</c:v>
                </c:pt>
                <c:pt idx="5" formatCode="0.000">
                  <c:v>0.375</c:v>
                </c:pt>
              </c:numCache>
            </c:numRef>
          </c:xVal>
          <c:yVal>
            <c:numRef>
              <c:f>(Uebersetzung_ccm!$I$38,Uebersetzung_ccm!$I$72,Uebersetzung_ccm!$I$101,Uebersetzung_ccm!$I$128,Uebersetzung_ccm!$I$155,Uebersetzung_ccm!$I$178)</c:f>
              <c:numCache>
                <c:formatCode>0.000</c:formatCode>
                <c:ptCount val="6"/>
                <c:pt idx="0">
                  <c:v>1.1141201321562044</c:v>
                </c:pt>
                <c:pt idx="1">
                  <c:v>1.2449665546274418</c:v>
                </c:pt>
                <c:pt idx="2">
                  <c:v>1.6649889771640114</c:v>
                </c:pt>
                <c:pt idx="3">
                  <c:v>2.0040578261050701</c:v>
                </c:pt>
                <c:pt idx="4">
                  <c:v>3.0822128793239809</c:v>
                </c:pt>
                <c:pt idx="5">
                  <c:v>4.2047531992687386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AF5-431E-91A6-3AB4157C3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425631"/>
        <c:axId val="724655519"/>
      </c:scatterChart>
      <c:valAx>
        <c:axId val="114142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sz="1400" b="1"/>
                  <a:t>d [1]</a:t>
                </a:r>
              </a:p>
            </c:rich>
          </c:tx>
          <c:layout>
            <c:manualLayout>
              <c:xMode val="edge"/>
              <c:yMode val="edge"/>
              <c:x val="0.4815241625060952"/>
              <c:y val="0.96056324538380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4655519"/>
        <c:crosses val="autoZero"/>
        <c:crossBetween val="midCat"/>
      </c:valAx>
      <c:valAx>
        <c:axId val="72465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sz="1400" b="1"/>
                  <a:t>U2/U1 [1]</a:t>
                </a:r>
              </a:p>
            </c:rich>
          </c:tx>
          <c:layout>
            <c:manualLayout>
              <c:xMode val="edge"/>
              <c:yMode val="edge"/>
              <c:x val="7.0107781716984604E-4"/>
              <c:y val="5.595616337431504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4142563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7903857532103256E-2"/>
          <c:y val="5.9329127718684295E-2"/>
          <c:w val="0.18638613408334331"/>
          <c:h val="0.21871455541741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500" b="1" i="0"/>
              <a:t>Wirkungsgrad über</a:t>
            </a:r>
            <a:r>
              <a:rPr lang="de-AT" sz="1500" b="1" i="0" baseline="0"/>
              <a:t> Ausgangsleistung des Typ 4 bei konstanter Ein/Ausgangsspannung</a:t>
            </a:r>
            <a:endParaRPr lang="de-AT" sz="1500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>
        <c:manualLayout>
          <c:layoutTarget val="inner"/>
          <c:xMode val="edge"/>
          <c:yMode val="edge"/>
          <c:x val="3.4460030415579296E-2"/>
          <c:y val="5.7540789857408167E-2"/>
          <c:w val="0.93281951122804196"/>
          <c:h val="0.87044422955902445"/>
        </c:manualLayout>
      </c:layout>
      <c:scatterChart>
        <c:scatterStyle val="smoothMarker"/>
        <c:varyColors val="0"/>
        <c:ser>
          <c:idx val="0"/>
          <c:order val="0"/>
          <c:tx>
            <c:v>3,3V_12V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Wirkungsgradkurven!$K$8:$K$13</c:f>
              <c:numCache>
                <c:formatCode>0.000</c:formatCode>
                <c:ptCount val="6"/>
                <c:pt idx="0">
                  <c:v>1.0043568</c:v>
                </c:pt>
                <c:pt idx="1">
                  <c:v>2.5231612000000001</c:v>
                </c:pt>
                <c:pt idx="2">
                  <c:v>4.99816854</c:v>
                </c:pt>
                <c:pt idx="3">
                  <c:v>7.5075280500000003</c:v>
                </c:pt>
                <c:pt idx="4">
                  <c:v>10.023601999999999</c:v>
                </c:pt>
                <c:pt idx="5">
                  <c:v>12.01951661</c:v>
                </c:pt>
              </c:numCache>
            </c:numRef>
          </c:xVal>
          <c:yVal>
            <c:numRef>
              <c:f>Wirkungsgradkurven!$M$8:$M$13</c:f>
              <c:numCache>
                <c:formatCode>0.000</c:formatCode>
                <c:ptCount val="6"/>
                <c:pt idx="0">
                  <c:v>0.7016706009981788</c:v>
                </c:pt>
                <c:pt idx="1">
                  <c:v>0.73964509452264127</c:v>
                </c:pt>
                <c:pt idx="2">
                  <c:v>0.72129713543376484</c:v>
                </c:pt>
                <c:pt idx="3">
                  <c:v>0.68914605580719257</c:v>
                </c:pt>
                <c:pt idx="4">
                  <c:v>0.64545859893205193</c:v>
                </c:pt>
                <c:pt idx="5">
                  <c:v>0.62569698836534104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21-47C8-9E4C-A2ACAED45E56}"/>
            </c:ext>
          </c:extLst>
        </c:ser>
        <c:ser>
          <c:idx val="1"/>
          <c:order val="1"/>
          <c:tx>
            <c:v>3,3V_24V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Wirkungsgradkurven!$K$15:$K$20</c:f>
              <c:numCache>
                <c:formatCode>0.000</c:formatCode>
                <c:ptCount val="6"/>
                <c:pt idx="0">
                  <c:v>1.1562278399999999</c:v>
                </c:pt>
                <c:pt idx="1">
                  <c:v>2.5096719999999997</c:v>
                </c:pt>
                <c:pt idx="2">
                  <c:v>5.0140047900000004</c:v>
                </c:pt>
                <c:pt idx="3">
                  <c:v>7.5281250000000002</c:v>
                </c:pt>
                <c:pt idx="4">
                  <c:v>9.9704096800000013</c:v>
                </c:pt>
                <c:pt idx="5">
                  <c:v>11.7648972</c:v>
                </c:pt>
              </c:numCache>
            </c:numRef>
          </c:xVal>
          <c:yVal>
            <c:numRef>
              <c:f>Wirkungsgradkurven!$M$15:$M$20</c:f>
              <c:numCache>
                <c:formatCode>0.000</c:formatCode>
                <c:ptCount val="6"/>
                <c:pt idx="0">
                  <c:v>0.58350455388297862</c:v>
                </c:pt>
                <c:pt idx="1">
                  <c:v>0.61105864031217971</c:v>
                </c:pt>
                <c:pt idx="2">
                  <c:v>0.63617980775035077</c:v>
                </c:pt>
                <c:pt idx="3">
                  <c:v>0.62783978266829443</c:v>
                </c:pt>
                <c:pt idx="4">
                  <c:v>0.60185981407702538</c:v>
                </c:pt>
                <c:pt idx="5">
                  <c:v>0.58197915601055916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21-47C8-9E4C-A2ACAED45E56}"/>
            </c:ext>
          </c:extLst>
        </c:ser>
        <c:ser>
          <c:idx val="2"/>
          <c:order val="2"/>
          <c:tx>
            <c:v>5V_12V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Wirkungsgradkurven!$K$22:$K$28</c:f>
              <c:numCache>
                <c:formatCode>0.000</c:formatCode>
                <c:ptCount val="7"/>
                <c:pt idx="0">
                  <c:v>0.48079500000000003</c:v>
                </c:pt>
                <c:pt idx="1">
                  <c:v>0.99744929999999998</c:v>
                </c:pt>
                <c:pt idx="2">
                  <c:v>2.4863638800000003</c:v>
                </c:pt>
                <c:pt idx="3">
                  <c:v>4.9928228000000008</c:v>
                </c:pt>
                <c:pt idx="4">
                  <c:v>7.4997152099999997</c:v>
                </c:pt>
                <c:pt idx="5">
                  <c:v>9.9711317200000007</c:v>
                </c:pt>
                <c:pt idx="6">
                  <c:v>21.656142000000003</c:v>
                </c:pt>
              </c:numCache>
            </c:numRef>
          </c:xVal>
          <c:yVal>
            <c:numRef>
              <c:f>Wirkungsgradkurven!$M$22:$M$28</c:f>
              <c:numCache>
                <c:formatCode>0.000</c:formatCode>
                <c:ptCount val="7"/>
                <c:pt idx="0">
                  <c:v>0.78755847780791777</c:v>
                </c:pt>
                <c:pt idx="1">
                  <c:v>0.79910043395642383</c:v>
                </c:pt>
                <c:pt idx="2">
                  <c:v>0.81122008852861471</c:v>
                </c:pt>
                <c:pt idx="3">
                  <c:v>0.82116818631017152</c:v>
                </c:pt>
                <c:pt idx="4">
                  <c:v>0.81505101337184327</c:v>
                </c:pt>
                <c:pt idx="5">
                  <c:v>0.80570507718041429</c:v>
                </c:pt>
                <c:pt idx="6">
                  <c:v>0.74478388680668783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21-47C8-9E4C-A2ACAED45E56}"/>
            </c:ext>
          </c:extLst>
        </c:ser>
        <c:ser>
          <c:idx val="3"/>
          <c:order val="3"/>
          <c:tx>
            <c:v>5V_24V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Wirkungsgradkurven!$K$30:$K$35</c:f>
              <c:numCache>
                <c:formatCode>0.000</c:formatCode>
                <c:ptCount val="6"/>
                <c:pt idx="0">
                  <c:v>1.1448</c:v>
                </c:pt>
                <c:pt idx="1">
                  <c:v>2.30688</c:v>
                </c:pt>
                <c:pt idx="2">
                  <c:v>5.0379544000000003</c:v>
                </c:pt>
                <c:pt idx="3">
                  <c:v>7.5803963999999997</c:v>
                </c:pt>
                <c:pt idx="4">
                  <c:v>9.9432001999999997</c:v>
                </c:pt>
                <c:pt idx="5">
                  <c:v>19.947558400000002</c:v>
                </c:pt>
              </c:numCache>
            </c:numRef>
          </c:xVal>
          <c:yVal>
            <c:numRef>
              <c:f>Wirkungsgradkurven!$M$30:$M$35</c:f>
              <c:numCache>
                <c:formatCode>0.000</c:formatCode>
                <c:ptCount val="6"/>
                <c:pt idx="0">
                  <c:v>0.71645333071318018</c:v>
                </c:pt>
                <c:pt idx="1">
                  <c:v>0.7423287100828736</c:v>
                </c:pt>
                <c:pt idx="2">
                  <c:v>0.74404559730387998</c:v>
                </c:pt>
                <c:pt idx="3">
                  <c:v>0.75716133285388953</c:v>
                </c:pt>
                <c:pt idx="4">
                  <c:v>0.75696985545449558</c:v>
                </c:pt>
                <c:pt idx="5">
                  <c:v>0.7240421582770582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21-47C8-9E4C-A2ACAED45E56}"/>
            </c:ext>
          </c:extLst>
        </c:ser>
        <c:ser>
          <c:idx val="7"/>
          <c:order val="4"/>
          <c:tx>
            <c:v>5V_48V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Wirkungsgradkurven!$K$37:$K$41</c:f>
              <c:numCache>
                <c:formatCode>0.000</c:formatCode>
                <c:ptCount val="5"/>
                <c:pt idx="0">
                  <c:v>2.3211469819999997</c:v>
                </c:pt>
                <c:pt idx="1">
                  <c:v>4.9926394000000007</c:v>
                </c:pt>
                <c:pt idx="2">
                  <c:v>7.4923851799999994</c:v>
                </c:pt>
                <c:pt idx="3">
                  <c:v>9.984802890000001</c:v>
                </c:pt>
                <c:pt idx="4">
                  <c:v>19.157430299999998</c:v>
                </c:pt>
              </c:numCache>
            </c:numRef>
          </c:xVal>
          <c:yVal>
            <c:numRef>
              <c:f>Wirkungsgradkurven!$M$37:$M$41</c:f>
              <c:numCache>
                <c:formatCode>0.000</c:formatCode>
                <c:ptCount val="5"/>
                <c:pt idx="0">
                  <c:v>0.56961779564333337</c:v>
                </c:pt>
                <c:pt idx="1">
                  <c:v>0.56115281003543627</c:v>
                </c:pt>
                <c:pt idx="2">
                  <c:v>0.60092237998174258</c:v>
                </c:pt>
                <c:pt idx="3">
                  <c:v>0.61876453157063416</c:v>
                </c:pt>
                <c:pt idx="4">
                  <c:v>0.62961599184097516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21-47C8-9E4C-A2ACAED45E56}"/>
            </c:ext>
          </c:extLst>
        </c:ser>
        <c:ser>
          <c:idx val="4"/>
          <c:order val="5"/>
          <c:tx>
            <c:v>12V_24V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rgbClr val="FF0000"/>
                </a:solidFill>
                <a:ln w="254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521-47C8-9E4C-A2ACAED45E56}"/>
              </c:ext>
            </c:extLst>
          </c:dPt>
          <c:xVal>
            <c:numRef>
              <c:f>Wirkungsgradkurven!$K$43:$K$53</c:f>
              <c:numCache>
                <c:formatCode>0.000</c:formatCode>
                <c:ptCount val="11"/>
                <c:pt idx="0">
                  <c:v>0.5813566</c:v>
                </c:pt>
                <c:pt idx="1">
                  <c:v>1.4393925000000001</c:v>
                </c:pt>
                <c:pt idx="2">
                  <c:v>2.4059418899999998</c:v>
                </c:pt>
                <c:pt idx="3">
                  <c:v>5.01408056</c:v>
                </c:pt>
                <c:pt idx="4">
                  <c:v>7.5831208199999995</c:v>
                </c:pt>
                <c:pt idx="5">
                  <c:v>9.9387405700000002</c:v>
                </c:pt>
                <c:pt idx="6">
                  <c:v>20.537522559999999</c:v>
                </c:pt>
                <c:pt idx="7">
                  <c:v>28.699623799999998</c:v>
                </c:pt>
                <c:pt idx="8">
                  <c:v>30.212356</c:v>
                </c:pt>
                <c:pt idx="9">
                  <c:v>47.660952799999997</c:v>
                </c:pt>
                <c:pt idx="10">
                  <c:v>63.408471200000001</c:v>
                </c:pt>
              </c:numCache>
            </c:numRef>
          </c:xVal>
          <c:yVal>
            <c:numRef>
              <c:f>Wirkungsgradkurven!$M$43:$M$53</c:f>
              <c:numCache>
                <c:formatCode>0.000</c:formatCode>
                <c:ptCount val="11"/>
                <c:pt idx="0">
                  <c:v>0.66110861088880768</c:v>
                </c:pt>
                <c:pt idx="1">
                  <c:v>0.83861114224862687</c:v>
                </c:pt>
                <c:pt idx="2">
                  <c:v>0.83987620847264255</c:v>
                </c:pt>
                <c:pt idx="3">
                  <c:v>0.87447234534186524</c:v>
                </c:pt>
                <c:pt idx="4">
                  <c:v>0.87644856557285566</c:v>
                </c:pt>
                <c:pt idx="5">
                  <c:v>0.89001405197203998</c:v>
                </c:pt>
                <c:pt idx="6">
                  <c:v>0.8953024761107623</c:v>
                </c:pt>
                <c:pt idx="7">
                  <c:v>0.88979054173002359</c:v>
                </c:pt>
                <c:pt idx="8">
                  <c:v>0.8936124980508211</c:v>
                </c:pt>
                <c:pt idx="9">
                  <c:v>0.88334400882156483</c:v>
                </c:pt>
                <c:pt idx="10">
                  <c:v>0.87648693227741892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21-47C8-9E4C-A2ACAED45E56}"/>
            </c:ext>
          </c:extLst>
        </c:ser>
        <c:ser>
          <c:idx val="5"/>
          <c:order val="6"/>
          <c:tx>
            <c:v>12V_48V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solidFill>
                    <a:srgbClr val="00B0F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00B0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521-47C8-9E4C-A2ACAED45E56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B0F0"/>
                </a:solidFill>
                <a:ln w="9525">
                  <a:solidFill>
                    <a:srgbClr val="00B0F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00B0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521-47C8-9E4C-A2ACAED45E56}"/>
              </c:ext>
            </c:extLst>
          </c:dPt>
          <c:xVal>
            <c:numRef>
              <c:f>Wirkungsgradkurven!$K$55:$K$61</c:f>
              <c:numCache>
                <c:formatCode>0.000</c:formatCode>
                <c:ptCount val="7"/>
                <c:pt idx="0">
                  <c:v>2.3227757700000002</c:v>
                </c:pt>
                <c:pt idx="1">
                  <c:v>4.968</c:v>
                </c:pt>
                <c:pt idx="2">
                  <c:v>10.034089999999999</c:v>
                </c:pt>
                <c:pt idx="3">
                  <c:v>19.223846600000002</c:v>
                </c:pt>
                <c:pt idx="4">
                  <c:v>29.841772800000005</c:v>
                </c:pt>
                <c:pt idx="5">
                  <c:v>49.97873288000001</c:v>
                </c:pt>
                <c:pt idx="6">
                  <c:v>60.629428499999996</c:v>
                </c:pt>
              </c:numCache>
            </c:numRef>
          </c:xVal>
          <c:yVal>
            <c:numRef>
              <c:f>Wirkungsgradkurven!$M$55:$M$61</c:f>
              <c:numCache>
                <c:formatCode>0.000</c:formatCode>
                <c:ptCount val="7"/>
                <c:pt idx="0">
                  <c:v>0.68342373955938396</c:v>
                </c:pt>
                <c:pt idx="1">
                  <c:v>0.80247915662154323</c:v>
                </c:pt>
                <c:pt idx="2">
                  <c:v>0.80511036468066388</c:v>
                </c:pt>
                <c:pt idx="3">
                  <c:v>0.82910707895030056</c:v>
                </c:pt>
                <c:pt idx="4">
                  <c:v>0.83870497625786677</c:v>
                </c:pt>
                <c:pt idx="5">
                  <c:v>0.8464752656667015</c:v>
                </c:pt>
                <c:pt idx="6">
                  <c:v>0.84429300975508426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521-47C8-9E4C-A2ACAED45E56}"/>
            </c:ext>
          </c:extLst>
        </c:ser>
        <c:ser>
          <c:idx val="6"/>
          <c:order val="7"/>
          <c:tx>
            <c:v>24V_48V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rgbClr val="FF0000"/>
                </a:solidFill>
                <a:ln w="254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521-47C8-9E4C-A2ACAED45E56}"/>
              </c:ext>
            </c:extLst>
          </c:dPt>
          <c:xVal>
            <c:numRef>
              <c:f>Wirkungsgradkurven!$K$63:$K$72</c:f>
              <c:numCache>
                <c:formatCode>0.000</c:formatCode>
                <c:ptCount val="10"/>
                <c:pt idx="0">
                  <c:v>2.3232075999999999</c:v>
                </c:pt>
                <c:pt idx="1">
                  <c:v>5.01746465</c:v>
                </c:pt>
                <c:pt idx="2">
                  <c:v>10.46993284</c:v>
                </c:pt>
                <c:pt idx="3">
                  <c:v>19.230727725000001</c:v>
                </c:pt>
                <c:pt idx="4">
                  <c:v>29.903388900000003</c:v>
                </c:pt>
                <c:pt idx="5">
                  <c:v>50.112211800000004</c:v>
                </c:pt>
                <c:pt idx="6">
                  <c:v>69.931585260000006</c:v>
                </c:pt>
                <c:pt idx="7">
                  <c:v>93.324786099999997</c:v>
                </c:pt>
                <c:pt idx="8">
                  <c:v>100.3227602</c:v>
                </c:pt>
                <c:pt idx="9">
                  <c:v>133.45703591999998</c:v>
                </c:pt>
              </c:numCache>
            </c:numRef>
          </c:xVal>
          <c:yVal>
            <c:numRef>
              <c:f>Wirkungsgradkurven!$M$63:$M$72</c:f>
              <c:numCache>
                <c:formatCode>0.000</c:formatCode>
                <c:ptCount val="10"/>
                <c:pt idx="0">
                  <c:v>0.7579193365710768</c:v>
                </c:pt>
                <c:pt idx="1">
                  <c:v>0.83867835800992507</c:v>
                </c:pt>
                <c:pt idx="2">
                  <c:v>0.88966539329633942</c:v>
                </c:pt>
                <c:pt idx="3">
                  <c:v>0.90083652318182861</c:v>
                </c:pt>
                <c:pt idx="4">
                  <c:v>0.90901178483813116</c:v>
                </c:pt>
                <c:pt idx="5">
                  <c:v>0.91869808346201998</c:v>
                </c:pt>
                <c:pt idx="6">
                  <c:v>0.92280632285765629</c:v>
                </c:pt>
                <c:pt idx="7">
                  <c:v>0.92038614569959587</c:v>
                </c:pt>
                <c:pt idx="8">
                  <c:v>0.92372985289692122</c:v>
                </c:pt>
                <c:pt idx="9">
                  <c:v>0.92252497427898161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521-47C8-9E4C-A2ACAED45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425631"/>
        <c:axId val="724655519"/>
      </c:scatterChart>
      <c:valAx>
        <c:axId val="1141425631"/>
        <c:scaling>
          <c:orientation val="minMax"/>
          <c:max val="9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sz="1400" b="1"/>
                  <a:t>Ausgangsleistung [W]</a:t>
                </a:r>
              </a:p>
            </c:rich>
          </c:tx>
          <c:layout>
            <c:manualLayout>
              <c:xMode val="edge"/>
              <c:yMode val="edge"/>
              <c:x val="0.42810886774545714"/>
              <c:y val="0.96056324538380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4655519"/>
        <c:crosses val="autoZero"/>
        <c:crossBetween val="midCat"/>
        <c:majorUnit val="5"/>
      </c:valAx>
      <c:valAx>
        <c:axId val="724655519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/>
                  <a:t>η</a:t>
                </a:r>
                <a:r>
                  <a:rPr lang="de-AT" sz="1400" b="1"/>
                  <a:t> [1]</a:t>
                </a:r>
              </a:p>
            </c:rich>
          </c:tx>
          <c:layout>
            <c:manualLayout>
              <c:xMode val="edge"/>
              <c:yMode val="edge"/>
              <c:x val="7.0107781716984604E-4"/>
              <c:y val="1.183343310156405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41425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64021746484854"/>
          <c:y val="0.5801868275237525"/>
          <c:w val="9.4731067373506672E-2"/>
          <c:h val="0.343124127027981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57150</xdr:rowOff>
    </xdr:from>
    <xdr:ext cx="1722395" cy="349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ED58F7E2-D8DC-E6CA-007D-2DA79C2ED4E2}"/>
                </a:ext>
              </a:extLst>
            </xdr:cNvPr>
            <xdr:cNvSpPr txBox="1"/>
          </xdr:nvSpPr>
          <xdr:spPr>
            <a:xfrm>
              <a:off x="647700" y="247650"/>
              <a:ext cx="1722395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de-A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e-AT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AT" sz="1100" i="1">
                                <a:latin typeface="Cambria Math" panose="02040503050406030204" pitchFamily="18" charset="0"/>
                              </a:rPr>
                              <m:t>𝑈</m:t>
                            </m:r>
                          </m:e>
                          <m:sub>
                            <m:r>
                              <a:rPr lang="de-AT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e-AT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AT" sz="1100" i="1">
                                <a:latin typeface="Cambria Math" panose="02040503050406030204" pitchFamily="18" charset="0"/>
                              </a:rPr>
                              <m:t>𝑈</m:t>
                            </m:r>
                          </m:e>
                          <m:sub>
                            <m:r>
                              <a:rPr lang="de-AT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de-AT" sz="1100" i="1">
                        <a:latin typeface="Cambria Math" panose="02040503050406030204" pitchFamily="18" charset="0"/>
                      </a:rPr>
                      <m:t>=2</m:t>
                    </m:r>
                    <m:f>
                      <m:fPr>
                        <m:ctrlPr>
                          <a:rPr lang="de-A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1−2</m:t>
                        </m:r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de-AT" sz="1100" i="1">
                        <a:latin typeface="Cambria Math" panose="02040503050406030204" pitchFamily="18" charset="0"/>
                      </a:rPr>
                      <m:t>−1=</m:t>
                    </m:r>
                    <m:f>
                      <m:fPr>
                        <m:ctrlPr>
                          <a:rPr lang="de-A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1−2</m:t>
                        </m:r>
                        <m:r>
                          <a:rPr lang="de-AT" sz="11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de-AT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ED58F7E2-D8DC-E6CA-007D-2DA79C2ED4E2}"/>
                </a:ext>
              </a:extLst>
            </xdr:cNvPr>
            <xdr:cNvSpPr txBox="1"/>
          </xdr:nvSpPr>
          <xdr:spPr>
            <a:xfrm>
              <a:off x="647700" y="247650"/>
              <a:ext cx="1722395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AT" sz="1100" i="0">
                  <a:latin typeface="Cambria Math" panose="02040503050406030204" pitchFamily="18" charset="0"/>
                </a:rPr>
                <a:t>𝑈_2/𝑈_1 =2 (1−𝑑)/(1−2𝑑)−1=1/(1−2𝑑)</a:t>
              </a:r>
              <a:endParaRPr lang="de-AT" sz="1100"/>
            </a:p>
          </xdr:txBody>
        </xdr:sp>
      </mc:Fallback>
    </mc:AlternateContent>
    <xdr:clientData/>
  </xdr:oneCellAnchor>
  <xdr:twoCellAnchor>
    <xdr:from>
      <xdr:col>15</xdr:col>
      <xdr:colOff>9524</xdr:colOff>
      <xdr:row>19</xdr:row>
      <xdr:rowOff>190499</xdr:rowOff>
    </xdr:from>
    <xdr:to>
      <xdr:col>30</xdr:col>
      <xdr:colOff>590550</xdr:colOff>
      <xdr:row>62</xdr:row>
      <xdr:rowOff>142874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F1CAE81B-6722-9F36-B63D-832FAD192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</xdr:colOff>
      <xdr:row>14</xdr:row>
      <xdr:rowOff>0</xdr:rowOff>
    </xdr:from>
    <xdr:to>
      <xdr:col>35</xdr:col>
      <xdr:colOff>44824</xdr:colOff>
      <xdr:row>56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EC07560-C0EA-4BAD-9282-3EF837D4C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29"/>
  <sheetViews>
    <sheetView zoomScaleNormal="100" workbookViewId="0">
      <pane xSplit="1" ySplit="7" topLeftCell="B177" activePane="bottomRight" state="frozen"/>
      <selection pane="topRight" activeCell="B1" sqref="B1"/>
      <selection pane="bottomLeft" activeCell="A8" sqref="A8"/>
      <selection pane="bottomRight" activeCell="AG44" sqref="AG44"/>
    </sheetView>
  </sheetViews>
  <sheetFormatPr baseColWidth="10" defaultColWidth="9.140625" defaultRowHeight="15" x14ac:dyDescent="0.25"/>
  <cols>
    <col min="1" max="1" width="3.5703125" customWidth="1"/>
    <col min="2" max="2" width="15.7109375" style="6" customWidth="1"/>
    <col min="3" max="4" width="12.140625" style="5" bestFit="1" customWidth="1"/>
    <col min="5" max="5" width="12.42578125" style="6" bestFit="1" customWidth="1"/>
    <col min="6" max="7" width="9.140625" style="6"/>
    <col min="8" max="8" width="9.28515625" style="6" bestFit="1" customWidth="1"/>
    <col min="9" max="11" width="9.5703125" style="5" bestFit="1" customWidth="1"/>
    <col min="12" max="12" width="9.28515625" style="5" bestFit="1" customWidth="1"/>
    <col min="13" max="13" width="9.140625" style="5"/>
    <col min="14" max="14" width="11.5703125" style="6" customWidth="1"/>
  </cols>
  <sheetData>
    <row r="1" spans="2:14" x14ac:dyDescent="0.25">
      <c r="B1" s="1" t="s">
        <v>0</v>
      </c>
      <c r="C1"/>
      <c r="D1"/>
      <c r="E1"/>
      <c r="F1"/>
      <c r="G1"/>
      <c r="H1"/>
      <c r="I1"/>
      <c r="J1"/>
      <c r="K1"/>
      <c r="L1"/>
      <c r="M1"/>
      <c r="N1" s="1"/>
    </row>
    <row r="2" spans="2:14" x14ac:dyDescent="0.25">
      <c r="B2"/>
      <c r="C2"/>
      <c r="D2"/>
      <c r="E2"/>
      <c r="F2"/>
      <c r="G2"/>
      <c r="H2"/>
      <c r="I2"/>
      <c r="J2"/>
      <c r="K2"/>
      <c r="L2"/>
      <c r="M2"/>
      <c r="N2" s="1"/>
    </row>
    <row r="3" spans="2:14" x14ac:dyDescent="0.25">
      <c r="B3"/>
      <c r="C3"/>
      <c r="D3"/>
      <c r="E3"/>
      <c r="F3"/>
      <c r="G3"/>
      <c r="H3"/>
      <c r="I3"/>
      <c r="J3"/>
      <c r="K3"/>
      <c r="L3"/>
      <c r="M3"/>
      <c r="N3" s="1"/>
    </row>
    <row r="4" spans="2:14" x14ac:dyDescent="0.25">
      <c r="B4" s="1" t="s">
        <v>47</v>
      </c>
      <c r="C4"/>
      <c r="D4"/>
      <c r="E4"/>
      <c r="F4"/>
      <c r="G4"/>
      <c r="H4"/>
      <c r="I4"/>
      <c r="J4"/>
      <c r="K4"/>
      <c r="L4"/>
      <c r="M4"/>
      <c r="N4" s="1"/>
    </row>
    <row r="5" spans="2:14" x14ac:dyDescent="0.25">
      <c r="B5" s="1" t="s">
        <v>84</v>
      </c>
      <c r="C5"/>
      <c r="D5"/>
      <c r="E5"/>
      <c r="F5"/>
      <c r="G5"/>
      <c r="H5"/>
      <c r="I5"/>
      <c r="J5"/>
      <c r="K5"/>
      <c r="L5"/>
      <c r="M5"/>
      <c r="N5" s="1" t="s">
        <v>48</v>
      </c>
    </row>
    <row r="6" spans="2:14" x14ac:dyDescent="0.25">
      <c r="B6" s="6" t="s">
        <v>41</v>
      </c>
      <c r="C6" s="5" t="s">
        <v>43</v>
      </c>
      <c r="D6" s="5" t="s">
        <v>44</v>
      </c>
      <c r="E6" s="22" t="s">
        <v>28</v>
      </c>
      <c r="F6" s="22"/>
      <c r="G6" s="22"/>
      <c r="H6" s="22"/>
      <c r="I6" s="23" t="s">
        <v>29</v>
      </c>
      <c r="J6" s="23"/>
      <c r="K6" s="23"/>
      <c r="L6" s="23"/>
      <c r="M6" s="23"/>
      <c r="N6" s="6" t="s">
        <v>30</v>
      </c>
    </row>
    <row r="7" spans="2:14" x14ac:dyDescent="0.25">
      <c r="B7" s="6" t="s">
        <v>3</v>
      </c>
      <c r="C7" s="5" t="s">
        <v>42</v>
      </c>
      <c r="D7" s="5" t="s">
        <v>45</v>
      </c>
      <c r="E7" s="6" t="s">
        <v>31</v>
      </c>
      <c r="F7" s="6" t="s">
        <v>32</v>
      </c>
      <c r="G7" s="6" t="s">
        <v>33</v>
      </c>
      <c r="H7" s="6" t="s">
        <v>34</v>
      </c>
      <c r="I7" s="5" t="s">
        <v>1</v>
      </c>
      <c r="J7" s="5" t="s">
        <v>35</v>
      </c>
      <c r="K7" s="5" t="s">
        <v>36</v>
      </c>
      <c r="L7" s="5" t="s">
        <v>37</v>
      </c>
      <c r="M7" s="5" t="s">
        <v>2</v>
      </c>
      <c r="N7" s="6" t="s">
        <v>46</v>
      </c>
    </row>
    <row r="8" spans="2:14" x14ac:dyDescent="0.25">
      <c r="B8" s="6">
        <v>0.05</v>
      </c>
      <c r="C8" s="4">
        <f t="shared" ref="C8:C14" si="0">1/(1-2*B8)</f>
        <v>1.1111111111111112</v>
      </c>
      <c r="D8" s="4" t="str">
        <f t="shared" ref="D8:D14" si="1">TEXT(ROUND(E8,3),"#,#")&amp;"_"&amp;TEXT(B8,"0,##")</f>
        <v>3,3_0,05</v>
      </c>
      <c r="E8" s="7">
        <v>3.3040500000000002</v>
      </c>
      <c r="F8" s="7">
        <v>6.2939999999999996E-2</v>
      </c>
      <c r="G8" s="7">
        <v>3.0771999999999999</v>
      </c>
      <c r="H8" s="7">
        <v>5.1150000000000001E-2</v>
      </c>
      <c r="I8" s="4">
        <f t="shared" ref="I8:I14" si="2">G8/E8</f>
        <v>0.93134183804724502</v>
      </c>
      <c r="J8" s="4">
        <f t="shared" ref="J8:J14" si="3">F8*E8</f>
        <v>0.207956907</v>
      </c>
      <c r="K8" s="4">
        <f t="shared" ref="K8:K14" si="4">H8*G8</f>
        <v>0.15739877999999999</v>
      </c>
      <c r="L8" s="4">
        <f t="shared" ref="L8:L14" si="5">J8-K8</f>
        <v>5.0558127000000008E-2</v>
      </c>
      <c r="M8" s="4">
        <f t="shared" ref="M8:M14" si="6">K8/J8</f>
        <v>0.75688171299835683</v>
      </c>
      <c r="N8" s="6">
        <v>60</v>
      </c>
    </row>
    <row r="9" spans="2:14" x14ac:dyDescent="0.25">
      <c r="B9" s="6">
        <v>0.05</v>
      </c>
      <c r="C9" s="4">
        <f t="shared" si="0"/>
        <v>1.1111111111111112</v>
      </c>
      <c r="D9" s="4" t="str">
        <f t="shared" si="1"/>
        <v>3,3_0,05</v>
      </c>
      <c r="E9" s="7">
        <v>3.3</v>
      </c>
      <c r="F9" s="7">
        <v>0.11624</v>
      </c>
      <c r="G9" s="7">
        <v>2.9701</v>
      </c>
      <c r="H9" s="7">
        <v>9.8070000000000004E-2</v>
      </c>
      <c r="I9" s="4">
        <f t="shared" si="2"/>
        <v>0.90003030303030307</v>
      </c>
      <c r="J9" s="4">
        <f t="shared" si="3"/>
        <v>0.38359199999999999</v>
      </c>
      <c r="K9" s="4">
        <f t="shared" si="4"/>
        <v>0.291277707</v>
      </c>
      <c r="L9" s="4">
        <f t="shared" si="5"/>
        <v>9.2314292999999992E-2</v>
      </c>
      <c r="M9" s="4">
        <f t="shared" si="6"/>
        <v>0.75934249671526</v>
      </c>
      <c r="N9" s="6">
        <v>30</v>
      </c>
    </row>
    <row r="10" spans="2:14" x14ac:dyDescent="0.25">
      <c r="B10" s="6">
        <v>0.05</v>
      </c>
      <c r="C10" s="4">
        <f t="shared" si="0"/>
        <v>1.1111111111111112</v>
      </c>
      <c r="D10" s="4" t="str">
        <f t="shared" si="1"/>
        <v>3,3_0,05</v>
      </c>
      <c r="E10" s="7">
        <v>3.3018999999999998</v>
      </c>
      <c r="F10" s="7">
        <v>0.22151999999999999</v>
      </c>
      <c r="G10" s="7">
        <v>2.88198</v>
      </c>
      <c r="H10" s="7">
        <v>0.19116</v>
      </c>
      <c r="I10" s="4">
        <f t="shared" si="2"/>
        <v>0.87282473727247956</v>
      </c>
      <c r="J10" s="4">
        <f t="shared" si="3"/>
        <v>0.73143688799999995</v>
      </c>
      <c r="K10" s="4">
        <f t="shared" si="4"/>
        <v>0.55091929679999996</v>
      </c>
      <c r="L10" s="4">
        <f t="shared" si="5"/>
        <v>0.18051759119999999</v>
      </c>
      <c r="M10" s="4">
        <f t="shared" si="6"/>
        <v>0.75320141195832058</v>
      </c>
      <c r="N10" s="6">
        <v>15</v>
      </c>
    </row>
    <row r="11" spans="2:14" x14ac:dyDescent="0.25">
      <c r="B11" s="6">
        <v>0.05</v>
      </c>
      <c r="C11" s="4">
        <f t="shared" si="0"/>
        <v>1.1111111111111112</v>
      </c>
      <c r="D11" s="4" t="str">
        <f t="shared" si="1"/>
        <v>3,3_0,05</v>
      </c>
      <c r="E11" s="7">
        <v>3.3069999999999999</v>
      </c>
      <c r="F11" s="7">
        <v>0.85899999999999999</v>
      </c>
      <c r="G11" s="7">
        <v>2.7061000000000002</v>
      </c>
      <c r="H11" s="7">
        <v>0.75788</v>
      </c>
      <c r="I11" s="4">
        <f t="shared" si="2"/>
        <v>0.81829452676141523</v>
      </c>
      <c r="J11" s="4">
        <f t="shared" si="3"/>
        <v>2.840713</v>
      </c>
      <c r="K11" s="4">
        <f t="shared" si="4"/>
        <v>2.0508990680000001</v>
      </c>
      <c r="L11" s="4">
        <f t="shared" si="5"/>
        <v>0.78981393199999994</v>
      </c>
      <c r="M11" s="4">
        <f t="shared" si="6"/>
        <v>0.72196630493823211</v>
      </c>
      <c r="N11" s="6">
        <v>3.5</v>
      </c>
    </row>
    <row r="12" spans="2:14" x14ac:dyDescent="0.25">
      <c r="B12" s="6">
        <v>0.05</v>
      </c>
      <c r="C12" s="4">
        <f t="shared" si="0"/>
        <v>1.1111111111111112</v>
      </c>
      <c r="D12" s="4" t="str">
        <f t="shared" si="1"/>
        <v>3,3_0,05</v>
      </c>
      <c r="E12" s="7">
        <v>3.3096000000000001</v>
      </c>
      <c r="F12" s="7">
        <v>2.5928</v>
      </c>
      <c r="G12" s="7">
        <v>2.4666000000000001</v>
      </c>
      <c r="H12" s="7">
        <v>2.2987500000000001</v>
      </c>
      <c r="I12" s="4">
        <f t="shared" si="2"/>
        <v>0.74528643944887596</v>
      </c>
      <c r="J12" s="4">
        <f t="shared" si="3"/>
        <v>8.5811308799999999</v>
      </c>
      <c r="K12" s="4">
        <f t="shared" si="4"/>
        <v>5.6700967500000008</v>
      </c>
      <c r="L12" s="4">
        <f t="shared" si="5"/>
        <v>2.9110341299999991</v>
      </c>
      <c r="M12" s="4">
        <f t="shared" si="6"/>
        <v>0.66076334568154271</v>
      </c>
      <c r="N12" s="6">
        <v>1</v>
      </c>
    </row>
    <row r="13" spans="2:14" x14ac:dyDescent="0.25">
      <c r="B13" s="6">
        <v>0.05</v>
      </c>
      <c r="C13" s="4">
        <f t="shared" si="0"/>
        <v>1.1111111111111112</v>
      </c>
      <c r="D13" s="4" t="str">
        <f t="shared" si="1"/>
        <v>3,3_0,05</v>
      </c>
      <c r="E13" s="7">
        <v>3.3050000000000002</v>
      </c>
      <c r="F13" s="7">
        <v>4.4095000000000004</v>
      </c>
      <c r="G13" s="7">
        <v>2.2530000000000001</v>
      </c>
      <c r="H13" s="7">
        <v>3.92205</v>
      </c>
      <c r="I13" s="4">
        <f t="shared" si="2"/>
        <v>0.68169440242057489</v>
      </c>
      <c r="J13" s="4">
        <f t="shared" si="3"/>
        <v>14.573397500000002</v>
      </c>
      <c r="K13" s="4">
        <f t="shared" si="4"/>
        <v>8.8363786500000003</v>
      </c>
      <c r="L13" s="4">
        <f t="shared" si="5"/>
        <v>5.7370188500000019</v>
      </c>
      <c r="M13" s="4">
        <f t="shared" si="6"/>
        <v>0.6063362129524017</v>
      </c>
      <c r="N13" s="6">
        <v>0.5</v>
      </c>
    </row>
    <row r="14" spans="2:14" x14ac:dyDescent="0.25">
      <c r="B14" s="6">
        <v>0.05</v>
      </c>
      <c r="C14" s="4">
        <f t="shared" si="0"/>
        <v>1.1111111111111112</v>
      </c>
      <c r="D14" s="4" t="str">
        <f t="shared" si="1"/>
        <v>3,3_0,05</v>
      </c>
      <c r="E14" s="7">
        <v>3.3010000000000002</v>
      </c>
      <c r="F14" s="7">
        <v>6.0557999999999996</v>
      </c>
      <c r="G14" s="7">
        <v>2.1360000000000001</v>
      </c>
      <c r="H14" s="7">
        <v>5.4039999999999999</v>
      </c>
      <c r="I14" s="4">
        <f t="shared" si="2"/>
        <v>0.64707664344138138</v>
      </c>
      <c r="J14" s="4">
        <f t="shared" si="3"/>
        <v>19.990195799999999</v>
      </c>
      <c r="K14" s="4">
        <f t="shared" si="4"/>
        <v>11.542944</v>
      </c>
      <c r="L14" s="4">
        <f t="shared" si="5"/>
        <v>8.4472517999999983</v>
      </c>
      <c r="M14" s="4">
        <f t="shared" si="6"/>
        <v>0.57743026208877857</v>
      </c>
      <c r="N14" s="6">
        <v>0.4</v>
      </c>
    </row>
    <row r="16" spans="2:14" x14ac:dyDescent="0.25">
      <c r="B16" s="6">
        <v>0.05</v>
      </c>
      <c r="C16" s="4">
        <f t="shared" ref="C16:C22" si="7">1/(1-2*B16)</f>
        <v>1.1111111111111112</v>
      </c>
      <c r="D16" s="4" t="str">
        <f t="shared" ref="D16:D22" si="8">TEXT(ROUND(E16,3),"#")&amp;"_"&amp;TEXT(B16,"0,##")</f>
        <v>5_0,05</v>
      </c>
      <c r="E16" s="7">
        <v>5.0172600000000003</v>
      </c>
      <c r="F16" s="7">
        <v>0.10141</v>
      </c>
      <c r="G16" s="7">
        <v>5.02257</v>
      </c>
      <c r="H16" s="7">
        <v>8.3333000000000004E-2</v>
      </c>
      <c r="I16" s="4">
        <f t="shared" ref="I16:I22" si="9">G16/E16</f>
        <v>1.0010583465875795</v>
      </c>
      <c r="J16" s="4">
        <f t="shared" ref="J16:J22" si="10">F16*E16</f>
        <v>0.50880033660000001</v>
      </c>
      <c r="K16" s="4">
        <f t="shared" ref="K16:K22" si="11">H16*G16</f>
        <v>0.41854582580999999</v>
      </c>
      <c r="L16" s="4">
        <f t="shared" ref="L16:L22" si="12">J16-K16</f>
        <v>9.025451079000002E-2</v>
      </c>
      <c r="M16" s="4">
        <f t="shared" ref="M16:M22" si="13">K16/J16</f>
        <v>0.82261310715099867</v>
      </c>
      <c r="N16" s="6">
        <v>60</v>
      </c>
    </row>
    <row r="17" spans="2:14" x14ac:dyDescent="0.25">
      <c r="B17" s="6">
        <v>0.05</v>
      </c>
      <c r="C17" s="4">
        <f t="shared" si="7"/>
        <v>1.1111111111111112</v>
      </c>
      <c r="D17" s="4" t="str">
        <f t="shared" si="8"/>
        <v>5_0,05</v>
      </c>
      <c r="E17" s="7">
        <v>5.0043499999999996</v>
      </c>
      <c r="F17" s="7">
        <v>0.18967000000000001</v>
      </c>
      <c r="G17" s="7">
        <v>4.8851000000000004</v>
      </c>
      <c r="H17" s="7">
        <v>0.16108</v>
      </c>
      <c r="I17" s="4">
        <f t="shared" si="9"/>
        <v>0.97617073146362676</v>
      </c>
      <c r="J17" s="4">
        <f t="shared" si="10"/>
        <v>0.9491750645</v>
      </c>
      <c r="K17" s="4">
        <f t="shared" si="11"/>
        <v>0.78689190800000008</v>
      </c>
      <c r="L17" s="4">
        <f t="shared" si="12"/>
        <v>0.16228315649999991</v>
      </c>
      <c r="M17" s="4">
        <f t="shared" si="13"/>
        <v>0.82902715993125431</v>
      </c>
      <c r="N17" s="6">
        <v>30</v>
      </c>
    </row>
    <row r="18" spans="2:14" x14ac:dyDescent="0.25">
      <c r="B18" s="6">
        <v>0.05</v>
      </c>
      <c r="C18" s="4">
        <f t="shared" si="7"/>
        <v>1.1111111111111112</v>
      </c>
      <c r="D18" s="4" t="str">
        <f t="shared" si="8"/>
        <v>5_0,05</v>
      </c>
      <c r="E18" s="7">
        <v>5.0015999999999998</v>
      </c>
      <c r="F18" s="7">
        <v>0.36546000000000001</v>
      </c>
      <c r="G18" s="7">
        <v>4.7722800000000003</v>
      </c>
      <c r="H18" s="7">
        <v>0.31657999999999997</v>
      </c>
      <c r="I18" s="4">
        <f t="shared" si="9"/>
        <v>0.95415067178502888</v>
      </c>
      <c r="J18" s="4">
        <f t="shared" si="10"/>
        <v>1.8278847359999999</v>
      </c>
      <c r="K18" s="4">
        <f t="shared" si="11"/>
        <v>1.5108084023999999</v>
      </c>
      <c r="L18" s="4">
        <f t="shared" si="12"/>
        <v>0.31707633359999998</v>
      </c>
      <c r="M18" s="4">
        <f t="shared" si="13"/>
        <v>0.82653373740957814</v>
      </c>
      <c r="N18" s="6">
        <v>15</v>
      </c>
    </row>
    <row r="19" spans="2:14" x14ac:dyDescent="0.25">
      <c r="B19" s="6">
        <v>0.05</v>
      </c>
      <c r="C19" s="4">
        <f t="shared" si="7"/>
        <v>1.1111111111111112</v>
      </c>
      <c r="D19" s="4" t="str">
        <f t="shared" si="8"/>
        <v>5_0,05</v>
      </c>
      <c r="E19" s="7">
        <v>5.0092999999999996</v>
      </c>
      <c r="F19" s="7">
        <v>0.70452000000000004</v>
      </c>
      <c r="G19" s="7">
        <v>4.6760000000000002</v>
      </c>
      <c r="H19" s="7">
        <v>0.61728000000000005</v>
      </c>
      <c r="I19" s="4">
        <f t="shared" si="9"/>
        <v>0.93346375741121523</v>
      </c>
      <c r="J19" s="4">
        <f t="shared" si="10"/>
        <v>3.5291520359999997</v>
      </c>
      <c r="K19" s="4">
        <f t="shared" si="11"/>
        <v>2.8864012800000003</v>
      </c>
      <c r="L19" s="4">
        <f t="shared" si="12"/>
        <v>0.64275075599999942</v>
      </c>
      <c r="M19" s="4">
        <f t="shared" si="13"/>
        <v>0.81787388317548826</v>
      </c>
      <c r="N19" s="6">
        <v>7.5</v>
      </c>
    </row>
    <row r="20" spans="2:14" x14ac:dyDescent="0.25">
      <c r="B20" s="6">
        <v>0.05</v>
      </c>
      <c r="C20" s="4">
        <f t="shared" si="7"/>
        <v>1.1111111111111112</v>
      </c>
      <c r="D20" s="4" t="str">
        <f t="shared" si="8"/>
        <v>5_0,05</v>
      </c>
      <c r="E20" s="7">
        <v>5.0090000000000003</v>
      </c>
      <c r="F20" s="7">
        <v>1.96926</v>
      </c>
      <c r="G20" s="7">
        <v>4.4707999999999997</v>
      </c>
      <c r="H20" s="7">
        <v>1.7396499999999999</v>
      </c>
      <c r="I20" s="4">
        <f t="shared" si="9"/>
        <v>0.89255340387302839</v>
      </c>
      <c r="J20" s="4">
        <f t="shared" si="10"/>
        <v>9.864023340000001</v>
      </c>
      <c r="K20" s="4">
        <f t="shared" si="11"/>
        <v>7.7776272199999994</v>
      </c>
      <c r="L20" s="4">
        <f t="shared" si="12"/>
        <v>2.0863961200000016</v>
      </c>
      <c r="M20" s="4">
        <f t="shared" si="13"/>
        <v>0.78848426771869318</v>
      </c>
      <c r="N20" s="6">
        <v>2.5</v>
      </c>
    </row>
    <row r="21" spans="2:14" x14ac:dyDescent="0.25">
      <c r="B21" s="6">
        <v>0.05</v>
      </c>
      <c r="C21" s="4">
        <f t="shared" si="7"/>
        <v>1.1111111111111112</v>
      </c>
      <c r="D21" s="4" t="str">
        <f t="shared" si="8"/>
        <v>5_0,05</v>
      </c>
      <c r="E21" s="7">
        <v>5.0010000000000003</v>
      </c>
      <c r="F21" s="7">
        <v>4.4099000000000004</v>
      </c>
      <c r="G21" s="7">
        <v>4.1908000000000003</v>
      </c>
      <c r="H21" s="7">
        <v>3.9059699999999999</v>
      </c>
      <c r="I21" s="4">
        <f t="shared" si="9"/>
        <v>0.83799240151969612</v>
      </c>
      <c r="J21" s="4">
        <f t="shared" si="10"/>
        <v>22.053909900000004</v>
      </c>
      <c r="K21" s="4">
        <f t="shared" si="11"/>
        <v>16.369139076</v>
      </c>
      <c r="L21" s="4">
        <f t="shared" si="12"/>
        <v>5.6847708240000046</v>
      </c>
      <c r="M21" s="4">
        <f t="shared" si="13"/>
        <v>0.74223297139705813</v>
      </c>
      <c r="N21" s="6">
        <v>1</v>
      </c>
    </row>
    <row r="22" spans="2:14" x14ac:dyDescent="0.25">
      <c r="B22" s="6">
        <v>0.05</v>
      </c>
      <c r="C22" s="4">
        <f t="shared" si="7"/>
        <v>1.1111111111111112</v>
      </c>
      <c r="D22" s="4" t="str">
        <f t="shared" si="8"/>
        <v>5_0,05</v>
      </c>
      <c r="E22" s="7">
        <v>5.0049999999999999</v>
      </c>
      <c r="F22" s="7">
        <v>5.9279999999999999</v>
      </c>
      <c r="G22" s="7">
        <v>4.0716000000000001</v>
      </c>
      <c r="H22" s="7">
        <v>5.2573999999999996</v>
      </c>
      <c r="I22" s="4">
        <f t="shared" si="9"/>
        <v>0.81350649350649351</v>
      </c>
      <c r="J22" s="4">
        <f t="shared" si="10"/>
        <v>29.669639999999998</v>
      </c>
      <c r="K22" s="4">
        <f t="shared" si="11"/>
        <v>21.406029839999999</v>
      </c>
      <c r="L22" s="4">
        <f t="shared" si="12"/>
        <v>8.2636101599999989</v>
      </c>
      <c r="M22" s="4">
        <f t="shared" si="13"/>
        <v>0.72147925758452081</v>
      </c>
      <c r="N22" s="6">
        <v>0.7</v>
      </c>
    </row>
    <row r="24" spans="2:14" x14ac:dyDescent="0.25">
      <c r="B24" s="6">
        <v>0.05</v>
      </c>
      <c r="C24" s="4">
        <f t="shared" ref="C24:C29" si="14">1/(1-2*B24)</f>
        <v>1.1111111111111112</v>
      </c>
      <c r="D24" s="4" t="str">
        <f t="shared" ref="D24:D29" si="15">TEXT(ROUND(E24,3),"#")&amp;"_"&amp;TEXT(B24,"0,##")</f>
        <v>9_0,05</v>
      </c>
      <c r="E24" s="7">
        <v>9.0563000000000002</v>
      </c>
      <c r="F24" s="7">
        <v>0.148255</v>
      </c>
      <c r="G24" s="7">
        <v>9.7240000000000002</v>
      </c>
      <c r="H24" s="7">
        <v>0.12135</v>
      </c>
      <c r="I24" s="4">
        <f t="shared" ref="I24:I29" si="16">G24/E24</f>
        <v>1.0737276812826431</v>
      </c>
      <c r="J24" s="4">
        <f t="shared" ref="J24:J29" si="17">F24*E24</f>
        <v>1.3426417564999999</v>
      </c>
      <c r="K24" s="4">
        <f t="shared" ref="K24:K29" si="18">H24*G24</f>
        <v>1.1800074</v>
      </c>
      <c r="L24" s="4">
        <f t="shared" ref="L24:L29" si="19">J24-K24</f>
        <v>0.16263435649999991</v>
      </c>
      <c r="M24" s="4">
        <f t="shared" ref="M24:M29" si="20">K24/J24</f>
        <v>0.87886988043336645</v>
      </c>
      <c r="N24" s="6">
        <v>80</v>
      </c>
    </row>
    <row r="25" spans="2:14" x14ac:dyDescent="0.25">
      <c r="B25" s="6">
        <v>0.05</v>
      </c>
      <c r="C25" s="4">
        <f t="shared" si="14"/>
        <v>1.1111111111111112</v>
      </c>
      <c r="D25" s="4" t="str">
        <f t="shared" si="15"/>
        <v>9_0,05</v>
      </c>
      <c r="E25" s="7">
        <v>9.0165000000000006</v>
      </c>
      <c r="F25" s="7">
        <v>0.27910000000000001</v>
      </c>
      <c r="G25" s="7">
        <v>9.4930000000000003</v>
      </c>
      <c r="H25" s="7">
        <v>0.23649999999999999</v>
      </c>
      <c r="I25" s="4">
        <f t="shared" si="16"/>
        <v>1.0528475572561415</v>
      </c>
      <c r="J25" s="4">
        <f t="shared" si="17"/>
        <v>2.5165051500000004</v>
      </c>
      <c r="K25" s="4">
        <f t="shared" si="18"/>
        <v>2.2450945</v>
      </c>
      <c r="L25" s="4">
        <f t="shared" si="19"/>
        <v>0.27141065000000042</v>
      </c>
      <c r="M25" s="4">
        <f t="shared" si="20"/>
        <v>0.89214778678279261</v>
      </c>
      <c r="N25" s="6">
        <v>40</v>
      </c>
    </row>
    <row r="26" spans="2:14" x14ac:dyDescent="0.25">
      <c r="B26" s="6">
        <v>0.05</v>
      </c>
      <c r="C26" s="4">
        <f t="shared" si="14"/>
        <v>1.1111111111111112</v>
      </c>
      <c r="D26" s="4" t="str">
        <f t="shared" si="15"/>
        <v>9_0,05</v>
      </c>
      <c r="E26" s="7">
        <v>9.0021000000000004</v>
      </c>
      <c r="F26" s="7">
        <v>0.53712599999999999</v>
      </c>
      <c r="G26" s="7">
        <v>9.3155000000000001</v>
      </c>
      <c r="H26" s="7">
        <v>0.46454000000000001</v>
      </c>
      <c r="I26" s="4">
        <f t="shared" si="16"/>
        <v>1.0348140989324712</v>
      </c>
      <c r="J26" s="4">
        <f t="shared" si="17"/>
        <v>4.8352619645999999</v>
      </c>
      <c r="K26" s="4">
        <f t="shared" si="18"/>
        <v>4.3274223699999999</v>
      </c>
      <c r="L26" s="4">
        <f t="shared" si="19"/>
        <v>0.50783959460000005</v>
      </c>
      <c r="M26" s="4">
        <f t="shared" si="20"/>
        <v>0.89497164821306396</v>
      </c>
      <c r="N26" s="6">
        <v>20</v>
      </c>
    </row>
    <row r="27" spans="2:14" x14ac:dyDescent="0.25">
      <c r="B27" s="6">
        <v>0.05</v>
      </c>
      <c r="C27" s="4">
        <f t="shared" si="14"/>
        <v>1.1111111111111112</v>
      </c>
      <c r="D27" s="4" t="str">
        <f t="shared" si="15"/>
        <v>9_0,05</v>
      </c>
      <c r="E27" s="7">
        <v>9.0065000000000008</v>
      </c>
      <c r="F27" s="7">
        <v>1.0404500000000001</v>
      </c>
      <c r="G27" s="7">
        <v>9.1715</v>
      </c>
      <c r="H27" s="7">
        <v>0.91043600000000002</v>
      </c>
      <c r="I27" s="4">
        <f t="shared" si="16"/>
        <v>1.0183201021484483</v>
      </c>
      <c r="J27" s="4">
        <f t="shared" si="17"/>
        <v>9.370812925000001</v>
      </c>
      <c r="K27" s="4">
        <f t="shared" si="18"/>
        <v>8.3500637740000005</v>
      </c>
      <c r="L27" s="4">
        <f t="shared" si="19"/>
        <v>1.0207491510000004</v>
      </c>
      <c r="M27" s="4">
        <f t="shared" si="20"/>
        <v>0.89107144074162592</v>
      </c>
      <c r="N27" s="6">
        <v>10</v>
      </c>
    </row>
    <row r="28" spans="2:14" x14ac:dyDescent="0.25">
      <c r="B28" s="6">
        <v>0.05</v>
      </c>
      <c r="C28" s="4">
        <f t="shared" si="14"/>
        <v>1.1111111111111112</v>
      </c>
      <c r="D28" s="4" t="str">
        <f t="shared" si="15"/>
        <v>9_0,05</v>
      </c>
      <c r="E28" s="7">
        <v>9.0083000000000002</v>
      </c>
      <c r="F28" s="7">
        <v>2.01844</v>
      </c>
      <c r="G28" s="7">
        <v>9.0065000000000008</v>
      </c>
      <c r="H28" s="7">
        <v>1.7767999999999999</v>
      </c>
      <c r="I28" s="4">
        <f t="shared" si="16"/>
        <v>0.99980018427450246</v>
      </c>
      <c r="J28" s="4">
        <f t="shared" si="17"/>
        <v>18.182713052</v>
      </c>
      <c r="K28" s="4">
        <f t="shared" si="18"/>
        <v>16.0027492</v>
      </c>
      <c r="L28" s="4">
        <f t="shared" si="19"/>
        <v>2.1799638520000002</v>
      </c>
      <c r="M28" s="4">
        <f t="shared" si="20"/>
        <v>0.88010788897313563</v>
      </c>
      <c r="N28" s="6">
        <v>5</v>
      </c>
    </row>
    <row r="29" spans="2:14" x14ac:dyDescent="0.25">
      <c r="B29" s="6">
        <v>0.05</v>
      </c>
      <c r="C29" s="4">
        <f t="shared" si="14"/>
        <v>1.1111111111111112</v>
      </c>
      <c r="D29" s="4" t="str">
        <f t="shared" si="15"/>
        <v>9_0,05</v>
      </c>
      <c r="E29" s="7">
        <v>9.0000999999999998</v>
      </c>
      <c r="F29" s="7">
        <v>6.1504599999999998</v>
      </c>
      <c r="G29" s="7">
        <v>8.5549999999999997</v>
      </c>
      <c r="H29" s="7">
        <v>5.4345999999999997</v>
      </c>
      <c r="I29" s="4">
        <f t="shared" si="16"/>
        <v>0.95054499394451175</v>
      </c>
      <c r="J29" s="4">
        <f t="shared" si="17"/>
        <v>55.354755045999994</v>
      </c>
      <c r="K29" s="4">
        <f t="shared" si="18"/>
        <v>46.493002999999995</v>
      </c>
      <c r="L29" s="4">
        <f t="shared" si="19"/>
        <v>8.8617520459999994</v>
      </c>
      <c r="M29" s="4">
        <f t="shared" si="20"/>
        <v>0.83990983179970979</v>
      </c>
      <c r="N29" s="6">
        <v>1.5</v>
      </c>
    </row>
    <row r="31" spans="2:14" x14ac:dyDescent="0.25">
      <c r="B31" s="6">
        <v>0.05</v>
      </c>
      <c r="C31" s="4">
        <f t="shared" ref="C31:C36" si="21">1/(1-2*B31)</f>
        <v>1.1111111111111112</v>
      </c>
      <c r="D31" s="4" t="str">
        <f t="shared" ref="D31:D36" si="22">TEXT(ROUND(E31,3),"#")&amp;"_"&amp;TEXT(B31,"0,##")</f>
        <v>12_0,05</v>
      </c>
      <c r="E31" s="7">
        <v>12.002000000000001</v>
      </c>
      <c r="F31" s="7">
        <v>0.19803000000000001</v>
      </c>
      <c r="G31" s="7">
        <v>13.108000000000001</v>
      </c>
      <c r="H31" s="7">
        <v>0.16306899999999999</v>
      </c>
      <c r="I31" s="4">
        <f t="shared" ref="I31:I36" si="23">G31/E31</f>
        <v>1.092151308115314</v>
      </c>
      <c r="J31" s="4">
        <f t="shared" ref="J31:J36" si="24">F31*E31</f>
        <v>2.3767560600000004</v>
      </c>
      <c r="K31" s="4">
        <f t="shared" ref="K31:K36" si="25">H31*G31</f>
        <v>2.1375084520000001</v>
      </c>
      <c r="L31" s="4">
        <f t="shared" ref="L31:L36" si="26">J31-K31</f>
        <v>0.23924760800000033</v>
      </c>
      <c r="M31" s="4">
        <f t="shared" ref="M31:M36" si="27">K31/J31</f>
        <v>0.89933859346087019</v>
      </c>
      <c r="N31" s="6">
        <v>80</v>
      </c>
    </row>
    <row r="32" spans="2:14" x14ac:dyDescent="0.25">
      <c r="B32" s="6">
        <v>0.05</v>
      </c>
      <c r="C32" s="4">
        <f t="shared" si="21"/>
        <v>1.1111111111111112</v>
      </c>
      <c r="D32" s="4" t="str">
        <f t="shared" si="22"/>
        <v>12_0,05</v>
      </c>
      <c r="E32" s="7">
        <v>12.006500000000001</v>
      </c>
      <c r="F32" s="7">
        <v>0.378106</v>
      </c>
      <c r="G32" s="7">
        <v>12.8894</v>
      </c>
      <c r="H32" s="7">
        <v>0.32155</v>
      </c>
      <c r="I32" s="4">
        <f t="shared" si="23"/>
        <v>1.0735351684504226</v>
      </c>
      <c r="J32" s="4">
        <f t="shared" si="24"/>
        <v>4.5397296890000005</v>
      </c>
      <c r="K32" s="4">
        <f t="shared" si="25"/>
        <v>4.1445865700000004</v>
      </c>
      <c r="L32" s="4">
        <f t="shared" si="26"/>
        <v>0.3951431190000001</v>
      </c>
      <c r="M32" s="4">
        <f t="shared" si="27"/>
        <v>0.91295888828855776</v>
      </c>
      <c r="N32" s="6">
        <v>40</v>
      </c>
    </row>
    <row r="33" spans="2:14" x14ac:dyDescent="0.25">
      <c r="B33" s="6">
        <v>0.05</v>
      </c>
      <c r="C33" s="4">
        <f t="shared" si="21"/>
        <v>1.1111111111111112</v>
      </c>
      <c r="D33" s="4" t="str">
        <f t="shared" si="22"/>
        <v>12_0,05</v>
      </c>
      <c r="E33" s="7">
        <v>12.0025</v>
      </c>
      <c r="F33" s="7">
        <v>0.73070000000000002</v>
      </c>
      <c r="G33" s="7">
        <v>12.6891</v>
      </c>
      <c r="H33" s="7">
        <v>0.63324000000000003</v>
      </c>
      <c r="I33" s="4">
        <f t="shared" si="23"/>
        <v>1.0572047490106229</v>
      </c>
      <c r="J33" s="4">
        <f t="shared" si="24"/>
        <v>8.7702267499999991</v>
      </c>
      <c r="K33" s="4">
        <f t="shared" si="25"/>
        <v>8.0352456839999995</v>
      </c>
      <c r="L33" s="4">
        <f t="shared" si="26"/>
        <v>0.73498106599999957</v>
      </c>
      <c r="M33" s="4">
        <f t="shared" si="27"/>
        <v>0.91619588786572714</v>
      </c>
      <c r="N33" s="6">
        <v>20</v>
      </c>
    </row>
    <row r="34" spans="2:14" x14ac:dyDescent="0.25">
      <c r="B34" s="6">
        <v>0.05</v>
      </c>
      <c r="C34" s="4">
        <f t="shared" si="21"/>
        <v>1.1111111111111112</v>
      </c>
      <c r="D34" s="4" t="str">
        <f t="shared" si="22"/>
        <v>12_0,05</v>
      </c>
      <c r="E34" s="7">
        <v>12.007999999999999</v>
      </c>
      <c r="F34" s="7">
        <v>1.4193</v>
      </c>
      <c r="G34" s="7">
        <v>12.516</v>
      </c>
      <c r="H34" s="7">
        <v>1.24295</v>
      </c>
      <c r="I34" s="4">
        <f t="shared" si="23"/>
        <v>1.0423051299133912</v>
      </c>
      <c r="J34" s="4">
        <f t="shared" si="24"/>
        <v>17.042954399999999</v>
      </c>
      <c r="K34" s="4">
        <f t="shared" si="25"/>
        <v>15.5567622</v>
      </c>
      <c r="L34" s="4">
        <f t="shared" si="26"/>
        <v>1.4861921999999996</v>
      </c>
      <c r="M34" s="4">
        <f t="shared" si="27"/>
        <v>0.9127972671217145</v>
      </c>
      <c r="N34" s="6">
        <v>10</v>
      </c>
    </row>
    <row r="35" spans="2:14" x14ac:dyDescent="0.25">
      <c r="B35" s="6">
        <v>0.05</v>
      </c>
      <c r="C35" s="4">
        <f t="shared" si="21"/>
        <v>1.1111111111111112</v>
      </c>
      <c r="D35" s="4" t="str">
        <f t="shared" si="22"/>
        <v>12_0,05</v>
      </c>
      <c r="E35" s="7">
        <v>12.0169</v>
      </c>
      <c r="F35" s="7">
        <v>2.75976</v>
      </c>
      <c r="G35" s="7">
        <v>12.316800000000001</v>
      </c>
      <c r="H35" s="7">
        <v>2.4288799999999999</v>
      </c>
      <c r="I35" s="4">
        <f t="shared" si="23"/>
        <v>1.0249565195682748</v>
      </c>
      <c r="J35" s="4">
        <f t="shared" si="24"/>
        <v>33.163759943999999</v>
      </c>
      <c r="K35" s="4">
        <f t="shared" si="25"/>
        <v>29.916029183999999</v>
      </c>
      <c r="L35" s="4">
        <f t="shared" si="26"/>
        <v>3.2477307599999996</v>
      </c>
      <c r="M35" s="4">
        <f t="shared" si="27"/>
        <v>0.9020698869644429</v>
      </c>
      <c r="N35" s="6">
        <v>5</v>
      </c>
    </row>
    <row r="36" spans="2:14" x14ac:dyDescent="0.25">
      <c r="B36" s="6">
        <v>0.05</v>
      </c>
      <c r="C36" s="4">
        <f t="shared" si="21"/>
        <v>1.1111111111111112</v>
      </c>
      <c r="D36" s="4" t="str">
        <f t="shared" si="22"/>
        <v>12_0,05</v>
      </c>
      <c r="E36" s="7">
        <v>12.076499999999999</v>
      </c>
      <c r="F36" s="7">
        <v>6.0030000000000001</v>
      </c>
      <c r="G36" s="7">
        <v>12.036</v>
      </c>
      <c r="H36" s="7">
        <v>5.2957000000000001</v>
      </c>
      <c r="I36" s="4">
        <f t="shared" si="23"/>
        <v>0.99664637933176004</v>
      </c>
      <c r="J36" s="4">
        <f t="shared" si="24"/>
        <v>72.495229499999994</v>
      </c>
      <c r="K36" s="4">
        <f t="shared" si="25"/>
        <v>63.7390452</v>
      </c>
      <c r="L36" s="4">
        <f t="shared" si="26"/>
        <v>8.7561842999999939</v>
      </c>
      <c r="M36" s="4">
        <f t="shared" si="27"/>
        <v>0.87921709662288894</v>
      </c>
      <c r="N36" s="6">
        <v>2.2000000000000002</v>
      </c>
    </row>
    <row r="38" spans="2:14" x14ac:dyDescent="0.25">
      <c r="B38" s="6">
        <v>0.05</v>
      </c>
      <c r="C38" s="4">
        <f>1/(1-2*B38)</f>
        <v>1.1111111111111112</v>
      </c>
      <c r="D38" s="4" t="str">
        <f>TEXT(ROUND(E38,3),"#")&amp;"_"&amp;TEXT(B38,"0,##")</f>
        <v>24_0,05</v>
      </c>
      <c r="E38" s="7">
        <v>24.001899999999999</v>
      </c>
      <c r="F38" s="7">
        <v>0.40065000000000001</v>
      </c>
      <c r="G38" s="7">
        <v>26.741</v>
      </c>
      <c r="H38" s="7">
        <v>0.33468999999999999</v>
      </c>
      <c r="I38" s="4">
        <f>G38/E38</f>
        <v>1.1141201321562044</v>
      </c>
      <c r="J38" s="4">
        <f>F38*E38</f>
        <v>9.6163612349999994</v>
      </c>
      <c r="K38" s="4">
        <f>H38*G38</f>
        <v>8.9499452899999987</v>
      </c>
      <c r="L38" s="4">
        <f>J38-K38</f>
        <v>0.66641594500000068</v>
      </c>
      <c r="M38" s="4">
        <f>K38/J38</f>
        <v>0.93069978043519275</v>
      </c>
      <c r="N38" s="6">
        <v>80</v>
      </c>
    </row>
    <row r="39" spans="2:14" x14ac:dyDescent="0.25">
      <c r="B39" s="6">
        <v>0.05</v>
      </c>
      <c r="C39" s="4">
        <f>1/(1-2*B39)</f>
        <v>1.1111111111111112</v>
      </c>
      <c r="D39" s="4" t="str">
        <f>TEXT(ROUND(E39,3),"#")&amp;"_"&amp;TEXT(B39,"0,##")</f>
        <v>24_0,05</v>
      </c>
      <c r="E39" s="7">
        <v>24.007999999999999</v>
      </c>
      <c r="F39" s="7">
        <v>0.77061999999999997</v>
      </c>
      <c r="G39" s="7">
        <v>26.433800000000002</v>
      </c>
      <c r="H39" s="7">
        <v>0.66035500000000003</v>
      </c>
      <c r="I39" s="4">
        <f>G39/E39</f>
        <v>1.1010413195601467</v>
      </c>
      <c r="J39" s="4">
        <f>F39*E39</f>
        <v>18.501044959999998</v>
      </c>
      <c r="K39" s="4">
        <f>H39*G39</f>
        <v>17.455691999000003</v>
      </c>
      <c r="L39" s="4">
        <f>J39-K39</f>
        <v>1.0453529609999954</v>
      </c>
      <c r="M39" s="4">
        <f>K39/J39</f>
        <v>0.9434976260389567</v>
      </c>
      <c r="N39" s="6">
        <v>40</v>
      </c>
    </row>
    <row r="40" spans="2:14" x14ac:dyDescent="0.25">
      <c r="B40" s="6">
        <v>0.05</v>
      </c>
      <c r="C40" s="4">
        <f>1/(1-2*B40)</f>
        <v>1.1111111111111112</v>
      </c>
      <c r="D40" s="4" t="str">
        <f>TEXT(ROUND(E40,3),"#")&amp;"_"&amp;TEXT(B40,"0,##")</f>
        <v>24_0,05</v>
      </c>
      <c r="E40" s="7">
        <v>24.01</v>
      </c>
      <c r="F40" s="7">
        <v>1.50177</v>
      </c>
      <c r="G40" s="7">
        <v>26.165800000000001</v>
      </c>
      <c r="H40" s="7">
        <v>1.306</v>
      </c>
      <c r="I40" s="4">
        <f>G40/E40</f>
        <v>1.0897875885047896</v>
      </c>
      <c r="J40" s="4">
        <f>F40*E40</f>
        <v>36.057497700000006</v>
      </c>
      <c r="K40" s="4">
        <f>H40*G40</f>
        <v>34.172534800000001</v>
      </c>
      <c r="L40" s="4">
        <f>J40-K40</f>
        <v>1.884962900000005</v>
      </c>
      <c r="M40" s="4">
        <f>K40/J40</f>
        <v>0.94772341343032229</v>
      </c>
      <c r="N40" s="6">
        <v>20</v>
      </c>
    </row>
    <row r="41" spans="2:14" x14ac:dyDescent="0.25">
      <c r="B41" s="6">
        <v>0.05</v>
      </c>
      <c r="C41" s="4">
        <f>1/(1-2*B41)</f>
        <v>1.1111111111111112</v>
      </c>
      <c r="D41" s="4" t="str">
        <f>TEXT(ROUND(E41,3),"#")&amp;"_"&amp;TEXT(B41,"0,##")</f>
        <v>24_0,05</v>
      </c>
      <c r="E41" s="7">
        <v>24.010200000000001</v>
      </c>
      <c r="F41" s="7">
        <v>2.9428000000000001</v>
      </c>
      <c r="G41" s="7">
        <v>25.902999999999999</v>
      </c>
      <c r="H41" s="7">
        <v>2.5779999999999998</v>
      </c>
      <c r="I41" s="4">
        <f>G41/E41</f>
        <v>1.0788331625725731</v>
      </c>
      <c r="J41" s="4">
        <f>F41*E41</f>
        <v>70.657216560000009</v>
      </c>
      <c r="K41" s="4">
        <f>H41*G41</f>
        <v>66.777933999999988</v>
      </c>
      <c r="L41" s="4">
        <f>J41-K41</f>
        <v>3.8792825600000214</v>
      </c>
      <c r="M41" s="4">
        <f>K41/J41</f>
        <v>0.94509715003129435</v>
      </c>
      <c r="N41" s="6">
        <v>10</v>
      </c>
    </row>
    <row r="42" spans="2:14" x14ac:dyDescent="0.25">
      <c r="B42" s="6">
        <v>0.05</v>
      </c>
      <c r="C42" s="4">
        <f>1/(1-2*B42)</f>
        <v>1.1111111111111112</v>
      </c>
      <c r="D42" s="4" t="str">
        <f>TEXT(ROUND(E42,3),"#")&amp;"_"&amp;TEXT(B42,"0,##")</f>
        <v>24_0,05</v>
      </c>
      <c r="E42" s="7">
        <v>24.0136</v>
      </c>
      <c r="F42" s="7">
        <v>5.7664999999999997</v>
      </c>
      <c r="G42" s="7">
        <v>25.61</v>
      </c>
      <c r="H42" s="7">
        <v>5.0635000000000003</v>
      </c>
      <c r="I42" s="4">
        <f>G42/E42</f>
        <v>1.066478995236033</v>
      </c>
      <c r="J42" s="4">
        <f>F42*E42</f>
        <v>138.4744244</v>
      </c>
      <c r="K42" s="4">
        <f>H42*G42</f>
        <v>129.67623500000002</v>
      </c>
      <c r="L42" s="4">
        <f>J42-K42</f>
        <v>8.7981893999999841</v>
      </c>
      <c r="M42" s="4">
        <f>K42/J42</f>
        <v>0.93646343403757104</v>
      </c>
      <c r="N42" s="6">
        <v>5</v>
      </c>
    </row>
    <row r="44" spans="2:14" x14ac:dyDescent="0.25">
      <c r="B44" s="6">
        <v>0.1</v>
      </c>
      <c r="C44" s="4">
        <f t="shared" ref="C44:C50" si="28">1/(1-2*B44)</f>
        <v>1.25</v>
      </c>
      <c r="D44" s="4" t="str">
        <f t="shared" ref="D44:D50" si="29">TEXT(ROUND(E44,3),"#,#")&amp;"_"&amp;TEXT(B44,"0,##")</f>
        <v>3,3_0,1</v>
      </c>
      <c r="E44" s="7">
        <v>3.3016000000000001</v>
      </c>
      <c r="F44" s="7">
        <v>0.10331</v>
      </c>
      <c r="G44" s="7">
        <v>3.456</v>
      </c>
      <c r="H44" s="7">
        <v>7.5759999999999994E-2</v>
      </c>
      <c r="I44" s="4">
        <f t="shared" ref="I44:I50" si="30">G44/E44</f>
        <v>1.0467652047492124</v>
      </c>
      <c r="J44" s="4">
        <f t="shared" ref="J44:J50" si="31">F44*E44</f>
        <v>0.34108829600000001</v>
      </c>
      <c r="K44" s="4">
        <f t="shared" ref="K44:K50" si="32">H44*G44</f>
        <v>0.26182655999999999</v>
      </c>
      <c r="L44" s="4">
        <f t="shared" ref="L44:L50" si="33">J44-K44</f>
        <v>7.9261736000000027E-2</v>
      </c>
      <c r="M44" s="4">
        <f t="shared" ref="M44:M50" si="34">K44/J44</f>
        <v>0.76762106196689894</v>
      </c>
      <c r="N44" s="6">
        <v>45</v>
      </c>
    </row>
    <row r="45" spans="2:14" x14ac:dyDescent="0.25">
      <c r="B45" s="6">
        <v>0.1</v>
      </c>
      <c r="C45" s="4">
        <f t="shared" si="28"/>
        <v>1.25</v>
      </c>
      <c r="D45" s="4" t="str">
        <f t="shared" si="29"/>
        <v>3,3_0,1</v>
      </c>
      <c r="E45" s="7">
        <v>3.3010999999999999</v>
      </c>
      <c r="F45" s="7">
        <v>0.21765000000000001</v>
      </c>
      <c r="G45" s="7">
        <v>3.3250999999999999</v>
      </c>
      <c r="H45" s="7">
        <v>0.16528999999999999</v>
      </c>
      <c r="I45" s="4">
        <f t="shared" si="30"/>
        <v>1.0072703038381146</v>
      </c>
      <c r="J45" s="4">
        <f t="shared" si="31"/>
        <v>0.71848441500000004</v>
      </c>
      <c r="K45" s="4">
        <f t="shared" si="32"/>
        <v>0.54960577899999996</v>
      </c>
      <c r="L45" s="4">
        <f t="shared" si="33"/>
        <v>0.16887863600000008</v>
      </c>
      <c r="M45" s="4">
        <f t="shared" si="34"/>
        <v>0.76495156683391652</v>
      </c>
      <c r="N45" s="6">
        <v>20</v>
      </c>
    </row>
    <row r="46" spans="2:14" x14ac:dyDescent="0.25">
      <c r="B46" s="6">
        <v>0.1</v>
      </c>
      <c r="C46" s="4">
        <f t="shared" si="28"/>
        <v>1.25</v>
      </c>
      <c r="D46" s="4" t="str">
        <f t="shared" si="29"/>
        <v>3,3_0,1</v>
      </c>
      <c r="E46" s="7">
        <v>3.3007</v>
      </c>
      <c r="F46" s="7">
        <v>0.41560999999999998</v>
      </c>
      <c r="G46" s="7">
        <v>3.2279</v>
      </c>
      <c r="H46" s="7">
        <v>0.320795</v>
      </c>
      <c r="I46" s="4">
        <f t="shared" si="30"/>
        <v>0.97794407246947623</v>
      </c>
      <c r="J46" s="4">
        <f t="shared" si="31"/>
        <v>1.371803927</v>
      </c>
      <c r="K46" s="4">
        <f t="shared" si="32"/>
        <v>1.0354941805</v>
      </c>
      <c r="L46" s="4">
        <f t="shared" si="33"/>
        <v>0.33630974650000001</v>
      </c>
      <c r="M46" s="4">
        <f t="shared" si="34"/>
        <v>0.75484124233739713</v>
      </c>
      <c r="N46" s="6">
        <v>10</v>
      </c>
    </row>
    <row r="47" spans="2:14" x14ac:dyDescent="0.25">
      <c r="B47" s="6">
        <v>0.1</v>
      </c>
      <c r="C47" s="4">
        <f t="shared" si="28"/>
        <v>1.25</v>
      </c>
      <c r="D47" s="4" t="str">
        <f t="shared" si="29"/>
        <v>3,3_0,1</v>
      </c>
      <c r="E47" s="7">
        <v>3.3018999999999998</v>
      </c>
      <c r="F47" s="7">
        <v>0.79039999999999999</v>
      </c>
      <c r="G47" s="7">
        <v>3.1253000000000002</v>
      </c>
      <c r="H47" s="7">
        <v>0.6169</v>
      </c>
      <c r="I47" s="4">
        <f t="shared" si="30"/>
        <v>0.94651564250885867</v>
      </c>
      <c r="J47" s="4">
        <f t="shared" si="31"/>
        <v>2.60982176</v>
      </c>
      <c r="K47" s="4">
        <f t="shared" si="32"/>
        <v>1.92799757</v>
      </c>
      <c r="L47" s="4">
        <f t="shared" si="33"/>
        <v>0.68182418999999994</v>
      </c>
      <c r="M47" s="4">
        <f t="shared" si="34"/>
        <v>0.73874683687210885</v>
      </c>
      <c r="N47" s="6">
        <v>5</v>
      </c>
    </row>
    <row r="48" spans="2:14" x14ac:dyDescent="0.25">
      <c r="B48" s="6">
        <v>0.1</v>
      </c>
      <c r="C48" s="4">
        <f t="shared" si="28"/>
        <v>1.25</v>
      </c>
      <c r="D48" s="4" t="str">
        <f t="shared" si="29"/>
        <v>3,3_0,1</v>
      </c>
      <c r="E48" s="7">
        <v>3.3001</v>
      </c>
      <c r="F48" s="7">
        <v>1.48342</v>
      </c>
      <c r="G48" s="7">
        <v>2.9887999999999999</v>
      </c>
      <c r="H48" s="7">
        <v>1.1625000000000001</v>
      </c>
      <c r="I48" s="4">
        <f t="shared" si="30"/>
        <v>0.90566952516590404</v>
      </c>
      <c r="J48" s="4">
        <f t="shared" si="31"/>
        <v>4.8954343419999997</v>
      </c>
      <c r="K48" s="4">
        <f t="shared" si="32"/>
        <v>3.4744800000000002</v>
      </c>
      <c r="L48" s="4">
        <f t="shared" si="33"/>
        <v>1.4209543419999995</v>
      </c>
      <c r="M48" s="4">
        <f t="shared" si="34"/>
        <v>0.70973886222739591</v>
      </c>
      <c r="N48" s="6">
        <v>2.5</v>
      </c>
    </row>
    <row r="49" spans="2:14" x14ac:dyDescent="0.25">
      <c r="B49" s="6">
        <v>0.1</v>
      </c>
      <c r="C49" s="4">
        <f t="shared" si="28"/>
        <v>1.25</v>
      </c>
      <c r="D49" s="4" t="str">
        <f t="shared" si="29"/>
        <v>3,3_0,1</v>
      </c>
      <c r="E49" s="7">
        <v>3.3005</v>
      </c>
      <c r="F49" s="7">
        <v>3.2330000000000001</v>
      </c>
      <c r="G49" s="7">
        <v>2.7244999999999999</v>
      </c>
      <c r="H49" s="7">
        <v>2.54236</v>
      </c>
      <c r="I49" s="4">
        <f t="shared" si="30"/>
        <v>0.82548098772913192</v>
      </c>
      <c r="J49" s="4">
        <f t="shared" si="31"/>
        <v>10.6705165</v>
      </c>
      <c r="K49" s="4">
        <f t="shared" si="32"/>
        <v>6.9266598199999994</v>
      </c>
      <c r="L49" s="4">
        <f t="shared" si="33"/>
        <v>3.7438566800000004</v>
      </c>
      <c r="M49" s="4">
        <f t="shared" si="34"/>
        <v>0.64914006927405998</v>
      </c>
      <c r="N49" s="6">
        <v>1</v>
      </c>
    </row>
    <row r="50" spans="2:14" x14ac:dyDescent="0.25">
      <c r="B50" s="6">
        <v>0.1</v>
      </c>
      <c r="C50" s="4">
        <f t="shared" si="28"/>
        <v>1.25</v>
      </c>
      <c r="D50" s="4" t="str">
        <f t="shared" si="29"/>
        <v>3,3_0,1</v>
      </c>
      <c r="E50" s="7">
        <v>3.302</v>
      </c>
      <c r="F50" s="7">
        <v>5.8326000000000002</v>
      </c>
      <c r="G50" s="7">
        <v>2.4159999999999999</v>
      </c>
      <c r="H50" s="7">
        <v>4.6082000000000001</v>
      </c>
      <c r="I50" s="4">
        <f t="shared" si="30"/>
        <v>0.7316777710478497</v>
      </c>
      <c r="J50" s="4">
        <f t="shared" si="31"/>
        <v>19.259245200000002</v>
      </c>
      <c r="K50" s="4">
        <f t="shared" si="32"/>
        <v>11.133411199999999</v>
      </c>
      <c r="L50" s="4">
        <f t="shared" si="33"/>
        <v>8.1258340000000029</v>
      </c>
      <c r="M50" s="4">
        <f t="shared" si="34"/>
        <v>0.57808138815325938</v>
      </c>
      <c r="N50" s="6">
        <v>0.45</v>
      </c>
    </row>
    <row r="52" spans="2:14" x14ac:dyDescent="0.25">
      <c r="B52" s="6">
        <v>0.1</v>
      </c>
      <c r="C52" s="4">
        <f t="shared" ref="C52:C57" si="35">1/(1-2*B52)</f>
        <v>1.25</v>
      </c>
      <c r="D52" s="4" t="str">
        <f t="shared" ref="D52:D57" si="36">TEXT(ROUND(E52,3),"#")&amp;"_"&amp;TEXT(B52,"0,##")</f>
        <v>5_0,1</v>
      </c>
      <c r="E52" s="7">
        <v>5.0022700000000002</v>
      </c>
      <c r="F52" s="7">
        <v>0.16778000000000001</v>
      </c>
      <c r="G52" s="7">
        <v>5.6085000000000003</v>
      </c>
      <c r="H52" s="7">
        <v>0.12429</v>
      </c>
      <c r="I52" s="4">
        <f t="shared" ref="I52:I57" si="37">G52/E52</f>
        <v>1.1211909792953998</v>
      </c>
      <c r="J52" s="4">
        <f t="shared" ref="J52:J57" si="38">F52*E52</f>
        <v>0.83928086060000007</v>
      </c>
      <c r="K52" s="4">
        <f t="shared" ref="K52:K57" si="39">H52*G52</f>
        <v>0.69708046499999998</v>
      </c>
      <c r="L52" s="4">
        <f t="shared" ref="L52:L57" si="40">J52-K52</f>
        <v>0.14220039560000008</v>
      </c>
      <c r="M52" s="4">
        <f t="shared" ref="M52:M57" si="41">K52/J52</f>
        <v>0.83056876157244752</v>
      </c>
      <c r="N52" s="6">
        <v>45</v>
      </c>
    </row>
    <row r="53" spans="2:14" x14ac:dyDescent="0.25">
      <c r="B53" s="6">
        <v>0.1</v>
      </c>
      <c r="C53" s="4">
        <f t="shared" si="35"/>
        <v>1.25</v>
      </c>
      <c r="D53" s="4" t="str">
        <f t="shared" si="36"/>
        <v>5_0,1</v>
      </c>
      <c r="E53" s="7">
        <v>5.0005800000000002</v>
      </c>
      <c r="F53" s="7">
        <v>0.35703000000000001</v>
      </c>
      <c r="G53" s="7">
        <v>5.4702000000000002</v>
      </c>
      <c r="H53" s="7">
        <v>0.27245999999999998</v>
      </c>
      <c r="I53" s="4">
        <f t="shared" si="37"/>
        <v>1.0939131060796947</v>
      </c>
      <c r="J53" s="4">
        <f t="shared" si="38"/>
        <v>1.7853570774</v>
      </c>
      <c r="K53" s="4">
        <f t="shared" si="39"/>
        <v>1.490410692</v>
      </c>
      <c r="L53" s="4">
        <f t="shared" si="40"/>
        <v>0.29494638540000007</v>
      </c>
      <c r="M53" s="4">
        <f t="shared" si="41"/>
        <v>0.83479697751582116</v>
      </c>
      <c r="N53" s="6">
        <v>20</v>
      </c>
    </row>
    <row r="54" spans="2:14" x14ac:dyDescent="0.25">
      <c r="B54" s="6">
        <v>0.1</v>
      </c>
      <c r="C54" s="4">
        <f t="shared" si="35"/>
        <v>1.25</v>
      </c>
      <c r="D54" s="4" t="str">
        <f t="shared" si="36"/>
        <v>5_0,1</v>
      </c>
      <c r="E54" s="7">
        <v>5.0042</v>
      </c>
      <c r="F54" s="7">
        <v>0.68466000000000005</v>
      </c>
      <c r="G54" s="7">
        <v>5.3446999999999996</v>
      </c>
      <c r="H54" s="7">
        <v>0.52985000000000004</v>
      </c>
      <c r="I54" s="4">
        <f t="shared" si="37"/>
        <v>1.0680428440110306</v>
      </c>
      <c r="J54" s="4">
        <f t="shared" si="38"/>
        <v>3.426175572</v>
      </c>
      <c r="K54" s="4">
        <f t="shared" si="39"/>
        <v>2.8318892949999999</v>
      </c>
      <c r="L54" s="4">
        <f t="shared" si="40"/>
        <v>0.59428627700000014</v>
      </c>
      <c r="M54" s="4">
        <f t="shared" si="41"/>
        <v>0.82654529386738618</v>
      </c>
      <c r="N54" s="6">
        <v>10</v>
      </c>
    </row>
    <row r="55" spans="2:14" x14ac:dyDescent="0.25">
      <c r="B55" s="6">
        <v>0.1</v>
      </c>
      <c r="C55" s="4">
        <f t="shared" si="35"/>
        <v>1.25</v>
      </c>
      <c r="D55" s="4" t="str">
        <f t="shared" si="36"/>
        <v>5_0,1</v>
      </c>
      <c r="E55" s="7">
        <v>5.0006000000000004</v>
      </c>
      <c r="F55" s="7">
        <v>1.3139000000000001</v>
      </c>
      <c r="G55" s="7">
        <v>5.1986999999999997</v>
      </c>
      <c r="H55" s="7">
        <v>1.0248280000000001</v>
      </c>
      <c r="I55" s="4">
        <f t="shared" si="37"/>
        <v>1.0396152461704593</v>
      </c>
      <c r="J55" s="4">
        <f t="shared" si="38"/>
        <v>6.5702883400000012</v>
      </c>
      <c r="K55" s="4">
        <f t="shared" si="39"/>
        <v>5.3277733235999998</v>
      </c>
      <c r="L55" s="4">
        <f t="shared" si="40"/>
        <v>1.2425150164000014</v>
      </c>
      <c r="M55" s="4">
        <f t="shared" si="41"/>
        <v>0.8108888145995734</v>
      </c>
      <c r="N55" s="6">
        <v>5</v>
      </c>
    </row>
    <row r="56" spans="2:14" x14ac:dyDescent="0.25">
      <c r="B56" s="6">
        <v>0.1</v>
      </c>
      <c r="C56" s="4">
        <f t="shared" si="35"/>
        <v>1.25</v>
      </c>
      <c r="D56" s="4" t="str">
        <f t="shared" si="36"/>
        <v>5_0,1</v>
      </c>
      <c r="E56" s="7">
        <v>5.0000999999999998</v>
      </c>
      <c r="F56" s="7">
        <v>2.4771000000000001</v>
      </c>
      <c r="G56" s="7">
        <v>5.0045000000000002</v>
      </c>
      <c r="H56" s="7">
        <v>1.9396</v>
      </c>
      <c r="I56" s="4">
        <f t="shared" si="37"/>
        <v>1.000879982400352</v>
      </c>
      <c r="J56" s="4">
        <f t="shared" si="38"/>
        <v>12.38574771</v>
      </c>
      <c r="K56" s="4">
        <f t="shared" si="39"/>
        <v>9.7067282000000006</v>
      </c>
      <c r="L56" s="4">
        <f t="shared" si="40"/>
        <v>2.6790195099999998</v>
      </c>
      <c r="M56" s="4">
        <f t="shared" si="41"/>
        <v>0.78370143065024533</v>
      </c>
      <c r="N56" s="6">
        <v>2.5</v>
      </c>
    </row>
    <row r="57" spans="2:14" x14ac:dyDescent="0.25">
      <c r="B57" s="6">
        <v>0.1</v>
      </c>
      <c r="C57" s="4">
        <f t="shared" si="35"/>
        <v>1.25</v>
      </c>
      <c r="D57" s="4" t="str">
        <f t="shared" si="36"/>
        <v>5_0,1</v>
      </c>
      <c r="E57" s="7">
        <v>5.0019999999999998</v>
      </c>
      <c r="F57" s="7">
        <v>5.4642499999999998</v>
      </c>
      <c r="G57" s="7">
        <v>4.6262999999999996</v>
      </c>
      <c r="H57" s="7">
        <v>4.2918000000000003</v>
      </c>
      <c r="I57" s="4">
        <f t="shared" si="37"/>
        <v>0.92489004398240704</v>
      </c>
      <c r="J57" s="4">
        <f t="shared" si="38"/>
        <v>27.332178499999998</v>
      </c>
      <c r="K57" s="4">
        <f t="shared" si="39"/>
        <v>19.855154339999999</v>
      </c>
      <c r="L57" s="4">
        <f t="shared" si="40"/>
        <v>7.4770241599999991</v>
      </c>
      <c r="M57" s="4">
        <f t="shared" si="41"/>
        <v>0.72643877764811171</v>
      </c>
      <c r="N57" s="6">
        <v>1</v>
      </c>
    </row>
    <row r="59" spans="2:14" x14ac:dyDescent="0.25">
      <c r="B59" s="6">
        <v>0.1</v>
      </c>
      <c r="C59" s="4">
        <f t="shared" ref="C59:C64" si="42">1/(1-2*B59)</f>
        <v>1.25</v>
      </c>
      <c r="D59" s="4" t="str">
        <f t="shared" ref="D59:D64" si="43">TEXT(ROUND(E59,3),"#")&amp;"_"&amp;TEXT(B59,"0,##")</f>
        <v>9_0,1</v>
      </c>
      <c r="E59" s="7">
        <v>9.0017700000000005</v>
      </c>
      <c r="F59" s="7">
        <v>0.26085999999999998</v>
      </c>
      <c r="G59" s="7">
        <v>10.692299999999999</v>
      </c>
      <c r="H59" s="7">
        <v>0.19339000000000001</v>
      </c>
      <c r="I59" s="4">
        <f t="shared" ref="I59:I64" si="44">G59/E59</f>
        <v>1.1877997327192318</v>
      </c>
      <c r="J59" s="4">
        <f t="shared" ref="J59:J64" si="45">F59*E59</f>
        <v>2.3482017221999998</v>
      </c>
      <c r="K59" s="4">
        <f t="shared" ref="K59:K64" si="46">H59*G59</f>
        <v>2.067783897</v>
      </c>
      <c r="L59" s="4">
        <f t="shared" ref="L59:L64" si="47">J59-K59</f>
        <v>0.2804178251999998</v>
      </c>
      <c r="M59" s="4">
        <f t="shared" ref="M59:M64" si="48">K59/J59</f>
        <v>0.88058188419294747</v>
      </c>
      <c r="N59" s="6">
        <v>55</v>
      </c>
    </row>
    <row r="60" spans="2:14" x14ac:dyDescent="0.25">
      <c r="B60" s="6">
        <v>0.1</v>
      </c>
      <c r="C60" s="4">
        <f t="shared" si="42"/>
        <v>1.25</v>
      </c>
      <c r="D60" s="4" t="str">
        <f t="shared" si="43"/>
        <v>9_0,1</v>
      </c>
      <c r="E60" s="7">
        <v>9.0085999999999995</v>
      </c>
      <c r="F60" s="7">
        <v>0.50270000000000004</v>
      </c>
      <c r="G60" s="7">
        <v>10.544499999999999</v>
      </c>
      <c r="H60" s="7">
        <v>0.3826</v>
      </c>
      <c r="I60" s="4">
        <f t="shared" si="44"/>
        <v>1.1704926403658726</v>
      </c>
      <c r="J60" s="4">
        <f t="shared" si="45"/>
        <v>4.5286232200000001</v>
      </c>
      <c r="K60" s="4">
        <f t="shared" si="46"/>
        <v>4.0343257000000001</v>
      </c>
      <c r="L60" s="4">
        <f t="shared" si="47"/>
        <v>0.49429751999999993</v>
      </c>
      <c r="M60" s="4">
        <f t="shared" si="48"/>
        <v>0.89085037637553788</v>
      </c>
      <c r="N60" s="6">
        <v>27.5</v>
      </c>
    </row>
    <row r="61" spans="2:14" x14ac:dyDescent="0.25">
      <c r="B61" s="6">
        <v>0.1</v>
      </c>
      <c r="C61" s="4">
        <f t="shared" si="42"/>
        <v>1.25</v>
      </c>
      <c r="D61" s="4" t="str">
        <f t="shared" si="43"/>
        <v>9_0,1</v>
      </c>
      <c r="E61" s="7">
        <v>9.0013000000000005</v>
      </c>
      <c r="F61" s="7">
        <v>0.89532999999999996</v>
      </c>
      <c r="G61" s="7">
        <v>10.398999999999999</v>
      </c>
      <c r="H61" s="7">
        <v>0.69067999999999996</v>
      </c>
      <c r="I61" s="4">
        <f t="shared" si="44"/>
        <v>1.1552775710175196</v>
      </c>
      <c r="J61" s="4">
        <f t="shared" si="45"/>
        <v>8.0591339289999997</v>
      </c>
      <c r="K61" s="4">
        <f t="shared" si="46"/>
        <v>7.1823813199999993</v>
      </c>
      <c r="L61" s="4">
        <f t="shared" si="47"/>
        <v>0.8767526090000004</v>
      </c>
      <c r="M61" s="4">
        <f t="shared" si="48"/>
        <v>0.89121007086814963</v>
      </c>
      <c r="N61" s="6">
        <v>15</v>
      </c>
    </row>
    <row r="62" spans="2:14" x14ac:dyDescent="0.25">
      <c r="B62" s="6">
        <v>0.1</v>
      </c>
      <c r="C62" s="4">
        <f t="shared" si="42"/>
        <v>1.25</v>
      </c>
      <c r="D62" s="4" t="str">
        <f t="shared" si="43"/>
        <v>9_0,1</v>
      </c>
      <c r="E62" s="7">
        <v>9.0007999999999999</v>
      </c>
      <c r="F62" s="7">
        <v>1.7360899999999999</v>
      </c>
      <c r="G62" s="7">
        <v>10.222200000000001</v>
      </c>
      <c r="H62" s="7">
        <v>1.3509</v>
      </c>
      <c r="I62" s="4">
        <f t="shared" si="44"/>
        <v>1.1356990489734247</v>
      </c>
      <c r="J62" s="4">
        <f t="shared" si="45"/>
        <v>15.626198872</v>
      </c>
      <c r="K62" s="4">
        <f t="shared" si="46"/>
        <v>13.809169980000002</v>
      </c>
      <c r="L62" s="4">
        <f t="shared" si="47"/>
        <v>1.817028891999998</v>
      </c>
      <c r="M62" s="4">
        <f t="shared" si="48"/>
        <v>0.88371907289264928</v>
      </c>
      <c r="N62" s="6">
        <v>7.5</v>
      </c>
    </row>
    <row r="63" spans="2:14" x14ac:dyDescent="0.25">
      <c r="B63" s="6">
        <v>0.1</v>
      </c>
      <c r="C63" s="4">
        <f t="shared" si="42"/>
        <v>1.25</v>
      </c>
      <c r="D63" s="4" t="str">
        <f t="shared" si="43"/>
        <v>9_0,1</v>
      </c>
      <c r="E63" s="7">
        <v>9.0023</v>
      </c>
      <c r="F63" s="7">
        <v>3.14568</v>
      </c>
      <c r="G63" s="7">
        <v>9.9895999999999994</v>
      </c>
      <c r="H63" s="7">
        <v>2.4567999999999999</v>
      </c>
      <c r="I63" s="4">
        <f t="shared" si="44"/>
        <v>1.109671972718083</v>
      </c>
      <c r="J63" s="4">
        <f t="shared" si="45"/>
        <v>28.318355063999999</v>
      </c>
      <c r="K63" s="4">
        <f t="shared" si="46"/>
        <v>24.542449279999996</v>
      </c>
      <c r="L63" s="4">
        <f t="shared" si="47"/>
        <v>3.7759057840000025</v>
      </c>
      <c r="M63" s="4">
        <f t="shared" si="48"/>
        <v>0.8666622487264396</v>
      </c>
      <c r="N63" s="6">
        <v>4</v>
      </c>
    </row>
    <row r="64" spans="2:14" x14ac:dyDescent="0.25">
      <c r="B64" s="6">
        <v>0.1</v>
      </c>
      <c r="C64" s="4">
        <f t="shared" si="42"/>
        <v>1.25</v>
      </c>
      <c r="D64" s="4" t="str">
        <f t="shared" si="43"/>
        <v>9_0,1</v>
      </c>
      <c r="E64" s="7">
        <v>9</v>
      </c>
      <c r="F64" s="7">
        <v>5.9705000000000004</v>
      </c>
      <c r="G64" s="7">
        <v>9.6839999999999993</v>
      </c>
      <c r="H64" s="7">
        <v>4.6704999999999997</v>
      </c>
      <c r="I64" s="4">
        <f t="shared" si="44"/>
        <v>1.0759999999999998</v>
      </c>
      <c r="J64" s="4">
        <f t="shared" si="45"/>
        <v>53.734500000000004</v>
      </c>
      <c r="K64" s="4">
        <f t="shared" si="46"/>
        <v>45.229121999999997</v>
      </c>
      <c r="L64" s="4">
        <f t="shared" si="47"/>
        <v>8.5053780000000074</v>
      </c>
      <c r="M64" s="4">
        <f t="shared" si="48"/>
        <v>0.84171476425759972</v>
      </c>
      <c r="N64" s="6">
        <v>2</v>
      </c>
    </row>
    <row r="66" spans="2:14" x14ac:dyDescent="0.25">
      <c r="B66" s="6">
        <v>0.1</v>
      </c>
      <c r="C66" s="4">
        <f>1/(1-2*B66)</f>
        <v>1.25</v>
      </c>
      <c r="D66" s="4" t="str">
        <f>TEXT(ROUND(E66,3),"#")&amp;"_"&amp;TEXT(B66,"0,##")</f>
        <v>12_0,1</v>
      </c>
      <c r="E66" s="7">
        <v>12.005000000000001</v>
      </c>
      <c r="F66" s="7">
        <v>0.35487999999999997</v>
      </c>
      <c r="G66" s="7">
        <v>14.574999999999999</v>
      </c>
      <c r="H66" s="7">
        <v>0.26428000000000001</v>
      </c>
      <c r="I66" s="4">
        <f>G66/E66</f>
        <v>1.2140774677217825</v>
      </c>
      <c r="J66" s="4">
        <f>F66*E66</f>
        <v>4.2603343999999996</v>
      </c>
      <c r="K66" s="4">
        <f>H66*G66</f>
        <v>3.8518810000000001</v>
      </c>
      <c r="L66" s="4">
        <f>J66-K66</f>
        <v>0.40845339999999952</v>
      </c>
      <c r="M66" s="4">
        <f>K66/J66</f>
        <v>0.90412644603672432</v>
      </c>
      <c r="N66" s="6">
        <v>55</v>
      </c>
    </row>
    <row r="67" spans="2:14" x14ac:dyDescent="0.25">
      <c r="B67" s="6">
        <v>0.1</v>
      </c>
      <c r="C67" s="4">
        <f>1/(1-2*B67)</f>
        <v>1.25</v>
      </c>
      <c r="D67" s="4" t="str">
        <f>TEXT(ROUND(E67,3),"#")&amp;"_"&amp;TEXT(B67,"0,##")</f>
        <v>12_0,1</v>
      </c>
      <c r="E67" s="7">
        <v>12.0053</v>
      </c>
      <c r="F67" s="7">
        <v>0.68393999999999999</v>
      </c>
      <c r="G67" s="7">
        <v>14.371</v>
      </c>
      <c r="H67" s="7">
        <v>0.52168999999999999</v>
      </c>
      <c r="I67" s="4">
        <f>G67/E67</f>
        <v>1.1970546342032269</v>
      </c>
      <c r="J67" s="4">
        <f>F67*E67</f>
        <v>8.2109048819999995</v>
      </c>
      <c r="K67" s="4">
        <f>H67*G67</f>
        <v>7.4972069900000005</v>
      </c>
      <c r="L67" s="4">
        <f>J67-K67</f>
        <v>0.713697891999999</v>
      </c>
      <c r="M67" s="4">
        <f>K67/J67</f>
        <v>0.91307926443471876</v>
      </c>
      <c r="N67" s="6">
        <v>27.5</v>
      </c>
    </row>
    <row r="68" spans="2:14" x14ac:dyDescent="0.25">
      <c r="B68" s="6">
        <v>0.1</v>
      </c>
      <c r="C68" s="4">
        <f>1/(1-2*B68)</f>
        <v>1.25</v>
      </c>
      <c r="D68" s="4" t="str">
        <f>TEXT(ROUND(E68,3),"#")&amp;"_"&amp;TEXT(B68,"0,##")</f>
        <v>12_0,1</v>
      </c>
      <c r="E68" s="7">
        <v>12.007300000000001</v>
      </c>
      <c r="F68" s="7">
        <v>1.2188000000000001</v>
      </c>
      <c r="G68" s="7">
        <v>14.198</v>
      </c>
      <c r="H68" s="7">
        <v>0.94108000000000003</v>
      </c>
      <c r="I68" s="4">
        <f>G68/E68</f>
        <v>1.1824473445320762</v>
      </c>
      <c r="J68" s="4">
        <f>F68*E68</f>
        <v>14.634497240000002</v>
      </c>
      <c r="K68" s="4">
        <f>H68*G68</f>
        <v>13.361453840000001</v>
      </c>
      <c r="L68" s="4">
        <f>J68-K68</f>
        <v>1.2730434000000006</v>
      </c>
      <c r="M68" s="4">
        <f>K68/J68</f>
        <v>0.91301078683315251</v>
      </c>
      <c r="N68" s="6">
        <v>15</v>
      </c>
    </row>
    <row r="69" spans="2:14" x14ac:dyDescent="0.25">
      <c r="B69" s="6">
        <v>0.1</v>
      </c>
      <c r="C69" s="4">
        <f>1/(1-2*B69)</f>
        <v>1.25</v>
      </c>
      <c r="D69" s="4" t="str">
        <f>TEXT(ROUND(E69,3),"#")&amp;"_"&amp;TEXT(B69,"0,##")</f>
        <v>12_0,1</v>
      </c>
      <c r="E69" s="7">
        <v>12.0062</v>
      </c>
      <c r="F69" s="7">
        <v>2.3755999999999999</v>
      </c>
      <c r="G69" s="7">
        <v>13.981</v>
      </c>
      <c r="H69" s="7">
        <v>1.8482799999999999</v>
      </c>
      <c r="I69" s="4">
        <f>G69/E69</f>
        <v>1.1644816844630275</v>
      </c>
      <c r="J69" s="4">
        <f>F69*E69</f>
        <v>28.521928719999998</v>
      </c>
      <c r="K69" s="4">
        <f>H69*G69</f>
        <v>25.840802679999999</v>
      </c>
      <c r="L69" s="4">
        <f>J69-K69</f>
        <v>2.6811260399999988</v>
      </c>
      <c r="M69" s="4">
        <f>K69/J69</f>
        <v>0.90599773015630769</v>
      </c>
      <c r="N69" s="6">
        <v>7.5</v>
      </c>
    </row>
    <row r="70" spans="2:14" x14ac:dyDescent="0.25">
      <c r="B70" s="6">
        <v>0.1</v>
      </c>
      <c r="C70" s="4">
        <f>1/(1-2*B70)</f>
        <v>1.25</v>
      </c>
      <c r="D70" s="4" t="str">
        <f>TEXT(ROUND(E70,3),"#")&amp;"_"&amp;TEXT(B70,"0,##")</f>
        <v>12_0,1</v>
      </c>
      <c r="E70" s="7">
        <v>12.074999999999999</v>
      </c>
      <c r="F70" s="7">
        <v>6.0614999999999997</v>
      </c>
      <c r="G70" s="7">
        <v>13.593</v>
      </c>
      <c r="H70" s="7">
        <v>4.7336999999999998</v>
      </c>
      <c r="I70" s="4">
        <f>G70/E70</f>
        <v>1.1257142857142857</v>
      </c>
      <c r="J70" s="4">
        <f>F70*E70</f>
        <v>73.192612499999996</v>
      </c>
      <c r="K70" s="4">
        <f>H70*G70</f>
        <v>64.345184099999997</v>
      </c>
      <c r="L70" s="4">
        <f>J70-K70</f>
        <v>8.8474283999999983</v>
      </c>
      <c r="M70" s="4">
        <f>K70/J70</f>
        <v>0.87912129246650406</v>
      </c>
      <c r="N70" s="6">
        <v>2.8</v>
      </c>
    </row>
    <row r="71" spans="2:14" x14ac:dyDescent="0.25">
      <c r="C71" s="4"/>
      <c r="D71" s="4"/>
      <c r="E71" s="7"/>
      <c r="F71" s="7"/>
      <c r="G71" s="7"/>
      <c r="H71" s="7"/>
      <c r="I71" s="4"/>
      <c r="J71" s="4"/>
      <c r="K71" s="4"/>
      <c r="L71" s="4"/>
      <c r="M71" s="4"/>
    </row>
    <row r="72" spans="2:14" x14ac:dyDescent="0.25">
      <c r="B72" s="6">
        <v>0.1</v>
      </c>
      <c r="C72" s="4">
        <f>1/(1-2*B72)</f>
        <v>1.25</v>
      </c>
      <c r="D72" s="4" t="str">
        <f>TEXT(ROUND(E72,3),"#")&amp;"_"&amp;TEXT(B72,"0,##")</f>
        <v>24_0,1</v>
      </c>
      <c r="E72" s="7">
        <v>24.039200000000001</v>
      </c>
      <c r="F72" s="7">
        <v>0.66557999999999995</v>
      </c>
      <c r="G72" s="7">
        <v>29.928000000000001</v>
      </c>
      <c r="H72" s="7">
        <v>0.49891999999999997</v>
      </c>
      <c r="I72" s="4">
        <f>G72/E72</f>
        <v>1.2449665546274418</v>
      </c>
      <c r="J72" s="4">
        <f>F72*E72</f>
        <v>16.000010736</v>
      </c>
      <c r="K72" s="4">
        <f>H72*G72</f>
        <v>14.931677759999999</v>
      </c>
      <c r="L72" s="4">
        <f>J72-K72</f>
        <v>1.0683329760000007</v>
      </c>
      <c r="M72" s="4">
        <f>K72/J72</f>
        <v>0.93322923380318412</v>
      </c>
      <c r="N72" s="6">
        <v>60</v>
      </c>
    </row>
    <row r="73" spans="2:14" x14ac:dyDescent="0.25">
      <c r="B73" s="6">
        <v>0.1</v>
      </c>
      <c r="C73" s="4">
        <f>1/(1-2*B73)</f>
        <v>1.25</v>
      </c>
      <c r="D73" s="4" t="str">
        <f>TEXT(ROUND(E73,3),"#")&amp;"_"&amp;TEXT(B73,"0,##")</f>
        <v>24_0,1</v>
      </c>
      <c r="E73" s="7">
        <v>24.018999999999998</v>
      </c>
      <c r="F73" s="7">
        <v>1.2907</v>
      </c>
      <c r="G73" s="7">
        <v>29.628</v>
      </c>
      <c r="H73" s="7">
        <v>0.98685</v>
      </c>
      <c r="I73" s="4">
        <f>G73/E73</f>
        <v>1.2335234605936967</v>
      </c>
      <c r="J73" s="4">
        <f>F73*E73</f>
        <v>31.001323299999996</v>
      </c>
      <c r="K73" s="4">
        <f>H73*G73</f>
        <v>29.238391799999999</v>
      </c>
      <c r="L73" s="4">
        <f>J73-K73</f>
        <v>1.762931499999997</v>
      </c>
      <c r="M73" s="4">
        <f>K73/J73</f>
        <v>0.94313366939404175</v>
      </c>
      <c r="N73" s="6">
        <v>30</v>
      </c>
    </row>
    <row r="74" spans="2:14" x14ac:dyDescent="0.25">
      <c r="B74" s="6">
        <v>0.1</v>
      </c>
      <c r="C74" s="4">
        <f>1/(1-2*B74)</f>
        <v>1.25</v>
      </c>
      <c r="D74" s="4" t="str">
        <f>TEXT(ROUND(E74,3),"#")&amp;"_"&amp;TEXT(B74,"0,##")</f>
        <v>24_0,1</v>
      </c>
      <c r="E74" s="7">
        <v>24.01</v>
      </c>
      <c r="F74" s="7">
        <v>2.5253000000000001</v>
      </c>
      <c r="G74" s="7">
        <v>29.331</v>
      </c>
      <c r="H74" s="7">
        <v>1.9517</v>
      </c>
      <c r="I74" s="4">
        <f>G74/E74</f>
        <v>1.2216159933361099</v>
      </c>
      <c r="J74" s="4">
        <f>F74*E74</f>
        <v>60.632453000000005</v>
      </c>
      <c r="K74" s="4">
        <f>H74*G74</f>
        <v>57.245312699999999</v>
      </c>
      <c r="L74" s="4">
        <f>J74-K74</f>
        <v>3.3871403000000058</v>
      </c>
      <c r="M74" s="4">
        <f>K74/J74</f>
        <v>0.94413651217442895</v>
      </c>
      <c r="N74" s="6">
        <v>15</v>
      </c>
    </row>
    <row r="75" spans="2:14" x14ac:dyDescent="0.25">
      <c r="B75" s="6">
        <v>0.1</v>
      </c>
      <c r="C75" s="4">
        <f>1/(1-2*B75)</f>
        <v>1.25</v>
      </c>
      <c r="D75" s="4" t="str">
        <f>TEXT(ROUND(E75,3),"#")&amp;"_"&amp;TEXT(B75,"0,##")</f>
        <v>24_0,1</v>
      </c>
      <c r="E75" s="7">
        <v>24.01</v>
      </c>
      <c r="F75" s="7">
        <v>6.1313000000000004</v>
      </c>
      <c r="G75" s="7">
        <v>28.870999999999999</v>
      </c>
      <c r="H75" s="7">
        <v>4.7617000000000003</v>
      </c>
      <c r="I75" s="4">
        <f>G75/E75</f>
        <v>1.2024573094543938</v>
      </c>
      <c r="J75" s="4">
        <f>F75*E75</f>
        <v>147.21251300000003</v>
      </c>
      <c r="K75" s="4">
        <f>H75*G75</f>
        <v>137.47504069999999</v>
      </c>
      <c r="L75" s="4">
        <f>J75-K75</f>
        <v>9.7374723000000358</v>
      </c>
      <c r="M75" s="4">
        <f>K75/J75</f>
        <v>0.93385431644659156</v>
      </c>
      <c r="N75" s="6">
        <v>6</v>
      </c>
    </row>
    <row r="77" spans="2:14" x14ac:dyDescent="0.25">
      <c r="B77" s="6">
        <v>0.2</v>
      </c>
      <c r="C77" s="4">
        <f t="shared" ref="C77:C82" si="49">1/(1-2*B77)</f>
        <v>1.6666666666666667</v>
      </c>
      <c r="D77" s="4" t="str">
        <f t="shared" ref="D77:D82" si="50">TEXT(ROUND(E77,3),"#,#")&amp;"_"&amp;TEXT(B77,"0,##")</f>
        <v>3,3_0,2</v>
      </c>
      <c r="E77" s="7">
        <v>3.3010999999999999</v>
      </c>
      <c r="F77" s="7">
        <v>0.210621</v>
      </c>
      <c r="G77" s="7">
        <v>4.6295000000000002</v>
      </c>
      <c r="H77" s="7">
        <v>0.11538</v>
      </c>
      <c r="I77" s="4">
        <f t="shared" ref="I77:I82" si="51">G77/E77</f>
        <v>1.4024113174396413</v>
      </c>
      <c r="J77" s="4">
        <f t="shared" ref="J77:J82" si="52">F77*E77</f>
        <v>0.69528098309999997</v>
      </c>
      <c r="K77" s="4">
        <f t="shared" ref="K77:K82" si="53">H77*G77</f>
        <v>0.53415171000000006</v>
      </c>
      <c r="L77" s="4">
        <f t="shared" ref="L77:L82" si="54">J77-K77</f>
        <v>0.16112927309999991</v>
      </c>
      <c r="M77" s="4">
        <f t="shared" ref="M77:M82" si="55">K77/J77</f>
        <v>0.76825301278688185</v>
      </c>
      <c r="N77" s="6">
        <v>40</v>
      </c>
    </row>
    <row r="78" spans="2:14" x14ac:dyDescent="0.25">
      <c r="B78" s="6">
        <v>0.2</v>
      </c>
      <c r="C78" s="4">
        <f t="shared" si="49"/>
        <v>1.6666666666666667</v>
      </c>
      <c r="D78" s="4" t="str">
        <f t="shared" si="50"/>
        <v>3,3_0,2</v>
      </c>
      <c r="E78" s="7">
        <v>3.3024800000000001</v>
      </c>
      <c r="F78" s="7">
        <v>0.39638000000000001</v>
      </c>
      <c r="G78" s="7">
        <v>4.4961000000000002</v>
      </c>
      <c r="H78" s="7">
        <v>0.224</v>
      </c>
      <c r="I78" s="4">
        <f t="shared" si="51"/>
        <v>1.361431409122841</v>
      </c>
      <c r="J78" s="4">
        <f t="shared" si="52"/>
        <v>1.3090370224000001</v>
      </c>
      <c r="K78" s="4">
        <f t="shared" si="53"/>
        <v>1.0071264</v>
      </c>
      <c r="L78" s="4">
        <f t="shared" si="54"/>
        <v>0.30191062240000011</v>
      </c>
      <c r="M78" s="4">
        <f t="shared" si="55"/>
        <v>0.76936433635278356</v>
      </c>
      <c r="N78" s="6">
        <v>20</v>
      </c>
    </row>
    <row r="79" spans="2:14" x14ac:dyDescent="0.25">
      <c r="B79" s="6">
        <v>0.2</v>
      </c>
      <c r="C79" s="4">
        <f t="shared" si="49"/>
        <v>1.6666666666666667</v>
      </c>
      <c r="D79" s="4" t="str">
        <f t="shared" si="50"/>
        <v>3,3_0,2</v>
      </c>
      <c r="E79" s="7">
        <v>3.3008999999999999</v>
      </c>
      <c r="F79" s="7">
        <v>0.75036000000000003</v>
      </c>
      <c r="G79" s="7">
        <v>4.3484999999999996</v>
      </c>
      <c r="H79" s="7">
        <v>0.43153999999999998</v>
      </c>
      <c r="I79" s="4">
        <f t="shared" si="51"/>
        <v>1.3173679905480322</v>
      </c>
      <c r="J79" s="4">
        <f t="shared" si="52"/>
        <v>2.476863324</v>
      </c>
      <c r="K79" s="4">
        <f t="shared" si="53"/>
        <v>1.8765516899999997</v>
      </c>
      <c r="L79" s="4">
        <f t="shared" si="54"/>
        <v>0.60031163400000032</v>
      </c>
      <c r="M79" s="4">
        <f t="shared" si="55"/>
        <v>0.75763231334439174</v>
      </c>
      <c r="N79" s="6">
        <v>10</v>
      </c>
    </row>
    <row r="80" spans="2:14" x14ac:dyDescent="0.25">
      <c r="B80" s="6">
        <v>0.2</v>
      </c>
      <c r="C80" s="4">
        <f t="shared" si="49"/>
        <v>1.6666666666666667</v>
      </c>
      <c r="D80" s="4" t="str">
        <f t="shared" si="50"/>
        <v>3,3_0,2</v>
      </c>
      <c r="E80" s="7">
        <v>3.3029000000000002</v>
      </c>
      <c r="F80" s="7">
        <v>1.4078200000000001</v>
      </c>
      <c r="G80" s="7">
        <v>4.1622000000000003</v>
      </c>
      <c r="H80" s="7">
        <v>0.81740000000000002</v>
      </c>
      <c r="I80" s="4">
        <f t="shared" si="51"/>
        <v>1.2601653092736687</v>
      </c>
      <c r="J80" s="4">
        <f t="shared" si="52"/>
        <v>4.6498886780000008</v>
      </c>
      <c r="K80" s="4">
        <f t="shared" si="53"/>
        <v>3.4021822800000003</v>
      </c>
      <c r="L80" s="4">
        <f t="shared" si="54"/>
        <v>1.2477063980000005</v>
      </c>
      <c r="M80" s="4">
        <f t="shared" si="55"/>
        <v>0.7316696195538468</v>
      </c>
      <c r="N80" s="6">
        <v>5</v>
      </c>
    </row>
    <row r="81" spans="2:14" x14ac:dyDescent="0.25">
      <c r="B81" s="6">
        <v>0.2</v>
      </c>
      <c r="C81" s="4">
        <f t="shared" si="49"/>
        <v>1.6666666666666667</v>
      </c>
      <c r="D81" s="4" t="str">
        <f t="shared" si="50"/>
        <v>3,3_0,2</v>
      </c>
      <c r="E81" s="7">
        <v>3.3048000000000002</v>
      </c>
      <c r="F81" s="7">
        <v>2.6015199999999998</v>
      </c>
      <c r="G81" s="7">
        <v>3.8997999999999999</v>
      </c>
      <c r="H81" s="7">
        <v>1.5181500000000001</v>
      </c>
      <c r="I81" s="4">
        <f t="shared" si="51"/>
        <v>1.1800411522633745</v>
      </c>
      <c r="J81" s="4">
        <f t="shared" si="52"/>
        <v>8.5975032959999993</v>
      </c>
      <c r="K81" s="4">
        <f t="shared" si="53"/>
        <v>5.9204813700000001</v>
      </c>
      <c r="L81" s="4">
        <f t="shared" si="54"/>
        <v>2.6770219259999992</v>
      </c>
      <c r="M81" s="4">
        <f t="shared" si="55"/>
        <v>0.6886279849121445</v>
      </c>
      <c r="N81" s="6">
        <v>2.5</v>
      </c>
    </row>
    <row r="82" spans="2:14" x14ac:dyDescent="0.25">
      <c r="B82" s="6">
        <v>0.2</v>
      </c>
      <c r="C82" s="4">
        <f t="shared" si="49"/>
        <v>1.6666666666666667</v>
      </c>
      <c r="D82" s="4" t="str">
        <f t="shared" si="50"/>
        <v>3,3_0,2</v>
      </c>
      <c r="E82" s="7">
        <v>3.3033999999999999</v>
      </c>
      <c r="F82" s="7">
        <v>5.3930999999999996</v>
      </c>
      <c r="G82" s="7">
        <v>3.3963999999999999</v>
      </c>
      <c r="H82" s="7">
        <v>3.1640000000000001</v>
      </c>
      <c r="I82" s="4">
        <f t="shared" si="51"/>
        <v>1.0281528122540413</v>
      </c>
      <c r="J82" s="4">
        <f t="shared" si="52"/>
        <v>17.815566539999999</v>
      </c>
      <c r="K82" s="4">
        <f t="shared" si="53"/>
        <v>10.7462096</v>
      </c>
      <c r="L82" s="4">
        <f t="shared" si="54"/>
        <v>7.0693569399999987</v>
      </c>
      <c r="M82" s="4">
        <f t="shared" si="55"/>
        <v>0.60319213401787231</v>
      </c>
      <c r="N82" s="6">
        <v>1</v>
      </c>
    </row>
    <row r="84" spans="2:14" x14ac:dyDescent="0.25">
      <c r="B84" s="6">
        <v>0.2</v>
      </c>
      <c r="C84" s="4">
        <f>1/(1-2*B84)</f>
        <v>1.6666666666666667</v>
      </c>
      <c r="D84" s="4" t="str">
        <f>TEXT(ROUND(E84,3),"#")&amp;"_"&amp;TEXT(B84,"0,##")</f>
        <v>5_0,2</v>
      </c>
      <c r="E84" s="7">
        <v>5.0096999999999996</v>
      </c>
      <c r="F84" s="7">
        <v>0.30273</v>
      </c>
      <c r="G84" s="7">
        <v>7.5285000000000002</v>
      </c>
      <c r="H84" s="7">
        <v>0.1661</v>
      </c>
      <c r="I84" s="4">
        <f>G84/E84</f>
        <v>1.5027845978801126</v>
      </c>
      <c r="J84" s="4">
        <f>F84*E84</f>
        <v>1.5165864809999998</v>
      </c>
      <c r="K84" s="4">
        <f>H84*G84</f>
        <v>1.25048385</v>
      </c>
      <c r="L84" s="4">
        <f>J84-K84</f>
        <v>0.26610263099999987</v>
      </c>
      <c r="M84" s="4">
        <f>K84/J84</f>
        <v>0.82453843922930237</v>
      </c>
      <c r="N84" s="6">
        <v>45</v>
      </c>
    </row>
    <row r="85" spans="2:14" x14ac:dyDescent="0.25">
      <c r="B85" s="6">
        <v>0.2</v>
      </c>
      <c r="C85" s="4">
        <f>1/(1-2*B85)</f>
        <v>1.6666666666666667</v>
      </c>
      <c r="D85" s="4" t="str">
        <f>TEXT(ROUND(E85,3),"#")&amp;"_"&amp;TEXT(B85,"0,##")</f>
        <v>5_0,2</v>
      </c>
      <c r="E85" s="7">
        <v>5.0087000000000002</v>
      </c>
      <c r="F85" s="7">
        <v>0.64398</v>
      </c>
      <c r="G85" s="7">
        <v>7.3334000000000001</v>
      </c>
      <c r="H85" s="7">
        <v>0.36559000000000003</v>
      </c>
      <c r="I85" s="4">
        <f>G85/E85</f>
        <v>1.4641324096072834</v>
      </c>
      <c r="J85" s="4">
        <f>F85*E85</f>
        <v>3.2255026259999999</v>
      </c>
      <c r="K85" s="4">
        <f>H85*G85</f>
        <v>2.6810177060000004</v>
      </c>
      <c r="L85" s="4">
        <f>J85-K85</f>
        <v>0.54448491999999948</v>
      </c>
      <c r="M85" s="4">
        <f>K85/J85</f>
        <v>0.83119377562707975</v>
      </c>
      <c r="N85" s="6">
        <v>20</v>
      </c>
    </row>
    <row r="86" spans="2:14" x14ac:dyDescent="0.25">
      <c r="B86" s="6">
        <v>0.2</v>
      </c>
      <c r="C86" s="4">
        <f>1/(1-2*B86)</f>
        <v>1.6666666666666667</v>
      </c>
      <c r="D86" s="4" t="str">
        <f>TEXT(ROUND(E86,3),"#")&amp;"_"&amp;TEXT(B86,"0,##")</f>
        <v>5_0,2</v>
      </c>
      <c r="E86" s="7">
        <v>5.0065999999999997</v>
      </c>
      <c r="F86" s="7">
        <v>1.2276</v>
      </c>
      <c r="G86" s="7">
        <v>7.1364999999999998</v>
      </c>
      <c r="H86" s="7">
        <v>0.70731999999999995</v>
      </c>
      <c r="I86" s="4">
        <f>G86/E86</f>
        <v>1.4254184476491032</v>
      </c>
      <c r="J86" s="4">
        <f>F86*E86</f>
        <v>6.1461021599999999</v>
      </c>
      <c r="K86" s="4">
        <f>H86*G86</f>
        <v>5.0477891799999997</v>
      </c>
      <c r="L86" s="4">
        <f>J86-K86</f>
        <v>1.0983129800000002</v>
      </c>
      <c r="M86" s="4">
        <f>K86/J86</f>
        <v>0.8212992639224207</v>
      </c>
      <c r="N86" s="6">
        <v>10</v>
      </c>
    </row>
    <row r="87" spans="2:14" x14ac:dyDescent="0.25">
      <c r="B87" s="6">
        <v>0.2</v>
      </c>
      <c r="C87" s="4">
        <f>1/(1-2*B87)</f>
        <v>1.6666666666666667</v>
      </c>
      <c r="D87" s="4" t="str">
        <f>TEXT(ROUND(E87,3),"#")&amp;"_"&amp;TEXT(B87,"0,##")</f>
        <v>5_0,2</v>
      </c>
      <c r="E87" s="7">
        <v>5.0035100000000003</v>
      </c>
      <c r="F87" s="7">
        <v>2.32897</v>
      </c>
      <c r="G87" s="7">
        <v>6.8682999999999996</v>
      </c>
      <c r="H87" s="7">
        <v>1.3520000000000001</v>
      </c>
      <c r="I87" s="4">
        <f>G87/E87</f>
        <v>1.3726963671502603</v>
      </c>
      <c r="J87" s="4">
        <f>F87*E87</f>
        <v>11.6530246847</v>
      </c>
      <c r="K87" s="4">
        <f>H87*G87</f>
        <v>9.2859415999999992</v>
      </c>
      <c r="L87" s="4">
        <f>J87-K87</f>
        <v>2.3670830847000008</v>
      </c>
      <c r="M87" s="4">
        <f>K87/J87</f>
        <v>0.79686964125220683</v>
      </c>
      <c r="N87" s="6">
        <v>5</v>
      </c>
    </row>
    <row r="88" spans="2:14" x14ac:dyDescent="0.25">
      <c r="B88" s="6">
        <v>0.2</v>
      </c>
      <c r="C88" s="4">
        <f>1/(1-2*B88)</f>
        <v>1.6666666666666667</v>
      </c>
      <c r="D88" s="4" t="str">
        <f>TEXT(ROUND(E88,3),"#")&amp;"_"&amp;TEXT(B88,"0,##")</f>
        <v>5_0,2</v>
      </c>
      <c r="E88" s="7">
        <v>5.0039499999999997</v>
      </c>
      <c r="F88" s="7">
        <v>5.2377000000000002</v>
      </c>
      <c r="G88" s="7">
        <v>6.335</v>
      </c>
      <c r="H88" s="7">
        <v>3.0543999999999998</v>
      </c>
      <c r="I88" s="4">
        <f>G88/E88</f>
        <v>1.2659998601105127</v>
      </c>
      <c r="J88" s="4">
        <f>F88*E88</f>
        <v>26.209188914999999</v>
      </c>
      <c r="K88" s="4">
        <f>H88*G88</f>
        <v>19.349623999999999</v>
      </c>
      <c r="L88" s="4">
        <f>J88-K88</f>
        <v>6.859564915</v>
      </c>
      <c r="M88" s="4">
        <f>K88/J88</f>
        <v>0.7382763374613952</v>
      </c>
      <c r="N88" s="6">
        <v>2</v>
      </c>
    </row>
    <row r="90" spans="2:14" x14ac:dyDescent="0.25">
      <c r="B90" s="6">
        <v>0.2</v>
      </c>
      <c r="C90" s="4">
        <f>1/(1-2*B90)</f>
        <v>1.6666666666666667</v>
      </c>
      <c r="D90" s="4" t="str">
        <f>TEXT(ROUND(E90,3),"#")&amp;"_"&amp;TEXT(B90,"0,##")</f>
        <v>9_0,2</v>
      </c>
      <c r="E90" s="7">
        <v>9.0016999999999996</v>
      </c>
      <c r="F90" s="7">
        <v>0.57247000000000003</v>
      </c>
      <c r="G90" s="7">
        <v>14.3011</v>
      </c>
      <c r="H90" s="7">
        <v>0.31711</v>
      </c>
      <c r="I90" s="4">
        <f>G90/E90</f>
        <v>1.5887110212515414</v>
      </c>
      <c r="J90" s="4">
        <f>F90*E90</f>
        <v>5.153203199</v>
      </c>
      <c r="K90" s="4">
        <f>H90*G90</f>
        <v>4.535021821</v>
      </c>
      <c r="L90" s="4">
        <f>J90-K90</f>
        <v>0.61818137800000006</v>
      </c>
      <c r="M90" s="4">
        <f>K90/J90</f>
        <v>0.88003939411510868</v>
      </c>
      <c r="N90" s="6">
        <v>45</v>
      </c>
    </row>
    <row r="91" spans="2:14" x14ac:dyDescent="0.25">
      <c r="B91" s="6">
        <v>0.2</v>
      </c>
      <c r="C91" s="4">
        <f>1/(1-2*B91)</f>
        <v>1.6666666666666667</v>
      </c>
      <c r="D91" s="4" t="str">
        <f>TEXT(ROUND(E91,3),"#")&amp;"_"&amp;TEXT(B91,"0,##")</f>
        <v>9_0,2</v>
      </c>
      <c r="E91" s="7">
        <v>9.0024999999999995</v>
      </c>
      <c r="F91" s="7">
        <v>1.2286999999999999</v>
      </c>
      <c r="G91" s="7">
        <v>14.031000000000001</v>
      </c>
      <c r="H91" s="7">
        <v>0.69982999999999995</v>
      </c>
      <c r="I91" s="4">
        <f>G91/E91</f>
        <v>1.5585670647042489</v>
      </c>
      <c r="J91" s="4">
        <f>F91*E91</f>
        <v>11.061371749999999</v>
      </c>
      <c r="K91" s="4">
        <f>H91*G91</f>
        <v>9.8193147300000003</v>
      </c>
      <c r="L91" s="4">
        <f>J91-K91</f>
        <v>1.242057019999999</v>
      </c>
      <c r="M91" s="4">
        <f>K91/J91</f>
        <v>0.88771220712295484</v>
      </c>
      <c r="N91" s="6">
        <v>20</v>
      </c>
    </row>
    <row r="92" spans="2:14" x14ac:dyDescent="0.25">
      <c r="B92" s="6">
        <v>0.2</v>
      </c>
      <c r="C92" s="4">
        <f>1/(1-2*B92)</f>
        <v>1.6666666666666667</v>
      </c>
      <c r="D92" s="4" t="str">
        <f>TEXT(ROUND(E92,3),"#")&amp;"_"&amp;TEXT(B92,"0,##")</f>
        <v>9_0,2</v>
      </c>
      <c r="E92" s="7">
        <v>9.0036000000000005</v>
      </c>
      <c r="F92" s="7">
        <v>2.3687</v>
      </c>
      <c r="G92" s="7">
        <v>13.727</v>
      </c>
      <c r="H92" s="7">
        <v>1.365</v>
      </c>
      <c r="I92" s="4">
        <f>G92/E92</f>
        <v>1.5246123772713136</v>
      </c>
      <c r="J92" s="4">
        <f>F92*E92</f>
        <v>21.326827320000003</v>
      </c>
      <c r="K92" s="4">
        <f>H92*G92</f>
        <v>18.737355000000001</v>
      </c>
      <c r="L92" s="4">
        <f>J92-K92</f>
        <v>2.5894723200000023</v>
      </c>
      <c r="M92" s="4">
        <f>K92/J92</f>
        <v>0.8785814560625419</v>
      </c>
      <c r="N92" s="6">
        <v>10</v>
      </c>
    </row>
    <row r="93" spans="2:14" x14ac:dyDescent="0.25">
      <c r="B93" s="6">
        <v>0.2</v>
      </c>
      <c r="C93" s="4">
        <f>1/(1-2*B93)</f>
        <v>1.6666666666666667</v>
      </c>
      <c r="D93" s="4" t="str">
        <f>TEXT(ROUND(E93,3),"#")&amp;"_"&amp;TEXT(B93,"0,##")</f>
        <v>9_0,2</v>
      </c>
      <c r="E93" s="7">
        <v>9.0058000000000007</v>
      </c>
      <c r="F93" s="7">
        <v>4.5231000000000003</v>
      </c>
      <c r="G93" s="7">
        <v>13.290800000000001</v>
      </c>
      <c r="H93" s="7">
        <v>2.6255999999999999</v>
      </c>
      <c r="I93" s="4">
        <f>G93/E93</f>
        <v>1.4758044815563303</v>
      </c>
      <c r="J93" s="4">
        <f>F93*E93</f>
        <v>40.734133980000003</v>
      </c>
      <c r="K93" s="4">
        <f>H93*G93</f>
        <v>34.896324480000004</v>
      </c>
      <c r="L93" s="4">
        <f>J93-K93</f>
        <v>5.8378094999999988</v>
      </c>
      <c r="M93" s="4">
        <f>K93/J93</f>
        <v>0.85668507147184481</v>
      </c>
      <c r="N93" s="6">
        <v>5</v>
      </c>
    </row>
    <row r="94" spans="2:14" x14ac:dyDescent="0.25">
      <c r="B94" s="6">
        <v>0.2</v>
      </c>
      <c r="C94" s="4">
        <f>1/(1-2*B94)</f>
        <v>1.6666666666666667</v>
      </c>
      <c r="D94" s="4" t="str">
        <f>TEXT(ROUND(E94,3),"#")&amp;"_"&amp;TEXT(B94,"0,##")</f>
        <v>9_0,2</v>
      </c>
      <c r="E94" s="7">
        <v>9.0015000000000001</v>
      </c>
      <c r="F94" s="7">
        <v>6.1317000000000004</v>
      </c>
      <c r="G94" s="7">
        <v>13.082000000000001</v>
      </c>
      <c r="H94" s="7">
        <v>3.5557400000000001</v>
      </c>
      <c r="I94" s="4">
        <f>G94/E94</f>
        <v>1.4533133366661113</v>
      </c>
      <c r="J94" s="4">
        <f>F94*E94</f>
        <v>55.194497550000001</v>
      </c>
      <c r="K94" s="4">
        <f>H94*G94</f>
        <v>46.516190680000001</v>
      </c>
      <c r="L94" s="4">
        <f>J94-K94</f>
        <v>8.6783068700000001</v>
      </c>
      <c r="M94" s="4">
        <f>K94/J94</f>
        <v>0.84276862268492558</v>
      </c>
      <c r="N94" s="6">
        <v>3.6</v>
      </c>
    </row>
    <row r="95" spans="2:14" x14ac:dyDescent="0.25">
      <c r="C95" s="4"/>
      <c r="D95" s="4"/>
      <c r="E95" s="7"/>
      <c r="F95" s="7"/>
      <c r="G95" s="7"/>
      <c r="H95" s="7"/>
      <c r="I95" s="4"/>
      <c r="J95" s="4"/>
      <c r="K95" s="4"/>
      <c r="L95" s="4"/>
      <c r="M95" s="4"/>
    </row>
    <row r="96" spans="2:14" x14ac:dyDescent="0.25">
      <c r="B96" s="6">
        <v>0.2</v>
      </c>
      <c r="C96" s="4">
        <f>1/(1-2*B96)</f>
        <v>1.6666666666666667</v>
      </c>
      <c r="D96" s="4" t="str">
        <f>TEXT(ROUND(E96,3),"#")&amp;"_"&amp;TEXT(B96,"0,##")</f>
        <v>12_0,2</v>
      </c>
      <c r="E96" s="7">
        <v>12.028</v>
      </c>
      <c r="F96" s="7">
        <v>0.73221999999999998</v>
      </c>
      <c r="G96" s="7">
        <v>19.5</v>
      </c>
      <c r="H96" s="7">
        <v>0.40562999999999999</v>
      </c>
      <c r="I96" s="4">
        <f>G96/E96</f>
        <v>1.6212171599600931</v>
      </c>
      <c r="J96" s="4">
        <f>F96*E96</f>
        <v>8.8071421599999997</v>
      </c>
      <c r="K96" s="4">
        <f>H96*G96</f>
        <v>7.9097849999999994</v>
      </c>
      <c r="L96" s="4">
        <f>J96-K96</f>
        <v>0.89735716000000032</v>
      </c>
      <c r="M96" s="4">
        <f>K96/J96</f>
        <v>0.89811029006939513</v>
      </c>
      <c r="N96" s="6">
        <v>48</v>
      </c>
    </row>
    <row r="97" spans="2:14" x14ac:dyDescent="0.25">
      <c r="B97" s="6">
        <v>0.2</v>
      </c>
      <c r="C97" s="4">
        <f>1/(1-2*B97)</f>
        <v>1.6666666666666667</v>
      </c>
      <c r="D97" s="4" t="str">
        <f>TEXT(ROUND(E97,3),"#")&amp;"_"&amp;TEXT(B97,"0,##")</f>
        <v>12_0,2</v>
      </c>
      <c r="E97" s="7">
        <v>12.008599999999999</v>
      </c>
      <c r="F97" s="7">
        <v>1.4065000000000001</v>
      </c>
      <c r="G97" s="7">
        <v>19.184999999999999</v>
      </c>
      <c r="H97" s="7">
        <v>0.79822000000000004</v>
      </c>
      <c r="I97" s="4">
        <f>G97/E97</f>
        <v>1.5976050497143712</v>
      </c>
      <c r="J97" s="4">
        <f>F97*E97</f>
        <v>16.890095899999999</v>
      </c>
      <c r="K97" s="4">
        <f>H97*G97</f>
        <v>15.3138507</v>
      </c>
      <c r="L97" s="4">
        <f>J97-K97</f>
        <v>1.5762451999999989</v>
      </c>
      <c r="M97" s="4">
        <f>K97/J97</f>
        <v>0.90667636173693966</v>
      </c>
      <c r="N97" s="6">
        <v>24</v>
      </c>
    </row>
    <row r="98" spans="2:14" x14ac:dyDescent="0.25">
      <c r="B98" s="6">
        <v>0.2</v>
      </c>
      <c r="C98" s="4">
        <f>1/(1-2*B98)</f>
        <v>1.6666666666666667</v>
      </c>
      <c r="D98" s="4" t="str">
        <f>TEXT(ROUND(E98,3),"#")&amp;"_"&amp;TEXT(B98,"0,##")</f>
        <v>12_0,2</v>
      </c>
      <c r="E98" s="7">
        <v>12.009399999999999</v>
      </c>
      <c r="F98" s="7">
        <v>2.7168000000000001</v>
      </c>
      <c r="G98" s="7">
        <v>18.829000000000001</v>
      </c>
      <c r="H98" s="7">
        <v>1.5607</v>
      </c>
      <c r="I98" s="4">
        <f>G98/E98</f>
        <v>1.5678551801089149</v>
      </c>
      <c r="J98" s="4">
        <f>F98*E98</f>
        <v>32.627137920000003</v>
      </c>
      <c r="K98" s="4">
        <f>H98*G98</f>
        <v>29.386420300000001</v>
      </c>
      <c r="L98" s="4">
        <f>J98-K98</f>
        <v>3.2407176200000016</v>
      </c>
      <c r="M98" s="4">
        <f>K98/J98</f>
        <v>0.90067416799027644</v>
      </c>
      <c r="N98" s="6">
        <v>12</v>
      </c>
    </row>
    <row r="99" spans="2:14" x14ac:dyDescent="0.25">
      <c r="B99" s="6">
        <v>0.2</v>
      </c>
      <c r="C99" s="4">
        <f>1/(1-2*B99)</f>
        <v>1.6666666666666667</v>
      </c>
      <c r="D99" s="4" t="str">
        <f>TEXT(ROUND(E99,3),"#")&amp;"_"&amp;TEXT(B99,"0,##")</f>
        <v>12_0,2</v>
      </c>
      <c r="E99" s="7">
        <v>12.087999999999999</v>
      </c>
      <c r="F99" s="7">
        <v>6.1569000000000003</v>
      </c>
      <c r="G99" s="7">
        <v>18.378</v>
      </c>
      <c r="H99" s="7">
        <v>3.5592999999999999</v>
      </c>
      <c r="I99" s="4">
        <f>G99/E99</f>
        <v>1.5203507610853739</v>
      </c>
      <c r="J99" s="4">
        <f>F99*E99</f>
        <v>74.424607199999997</v>
      </c>
      <c r="K99" s="4">
        <f>H99*G99</f>
        <v>65.412815399999999</v>
      </c>
      <c r="L99" s="4">
        <f>J99-K99</f>
        <v>9.0117917999999975</v>
      </c>
      <c r="M99" s="4">
        <f>K99/J99</f>
        <v>0.87891381440841521</v>
      </c>
      <c r="N99" s="6">
        <v>5.0999999999999996</v>
      </c>
    </row>
    <row r="100" spans="2:14" x14ac:dyDescent="0.25">
      <c r="C100" s="4"/>
      <c r="D100" s="4"/>
      <c r="E100" s="7"/>
      <c r="F100" s="7"/>
      <c r="G100" s="7"/>
      <c r="H100" s="7"/>
      <c r="I100" s="4"/>
      <c r="J100" s="4"/>
      <c r="K100" s="4"/>
      <c r="L100" s="4"/>
      <c r="M100" s="4"/>
    </row>
    <row r="101" spans="2:14" x14ac:dyDescent="0.25">
      <c r="B101" s="6">
        <v>0.2</v>
      </c>
      <c r="C101" s="4">
        <f>1/(1-2*B101)</f>
        <v>1.6666666666666667</v>
      </c>
      <c r="D101" s="4" t="str">
        <f>TEXT(ROUND(E101,3),"#")&amp;"_"&amp;TEXT(B101,"0,##")</f>
        <v>24_0,2</v>
      </c>
      <c r="E101" s="7">
        <v>24.041</v>
      </c>
      <c r="F101" s="7">
        <v>1.4362999999999999</v>
      </c>
      <c r="G101" s="7">
        <v>40.027999999999999</v>
      </c>
      <c r="H101" s="7">
        <v>0.79890000000000005</v>
      </c>
      <c r="I101" s="4">
        <f>G101/E101</f>
        <v>1.6649889771640114</v>
      </c>
      <c r="J101" s="4">
        <f>F101*E101</f>
        <v>34.530088299999996</v>
      </c>
      <c r="K101" s="4">
        <f>H101*G101</f>
        <v>31.978369199999999</v>
      </c>
      <c r="L101" s="4">
        <f>J101-K101</f>
        <v>2.5517190999999961</v>
      </c>
      <c r="M101" s="4">
        <f>K101/J101</f>
        <v>0.9261015761723379</v>
      </c>
      <c r="N101" s="6">
        <v>50</v>
      </c>
    </row>
    <row r="102" spans="2:14" x14ac:dyDescent="0.25">
      <c r="B102" s="6">
        <v>0.2</v>
      </c>
      <c r="C102" s="4">
        <f>1/(1-2*B102)</f>
        <v>1.6666666666666667</v>
      </c>
      <c r="D102" s="4" t="str">
        <f>TEXT(ROUND(E102,3),"#")&amp;"_"&amp;TEXT(B102,"0,##")</f>
        <v>24_0,2</v>
      </c>
      <c r="E102" s="7">
        <v>24.0425</v>
      </c>
      <c r="F102" s="7">
        <v>2.7845</v>
      </c>
      <c r="G102" s="7">
        <v>39.604999999999997</v>
      </c>
      <c r="H102" s="7">
        <v>1.5781000000000001</v>
      </c>
      <c r="I102" s="4">
        <f>G102/E102</f>
        <v>1.6472912550691483</v>
      </c>
      <c r="J102" s="4">
        <f>F102*E102</f>
        <v>66.946341250000003</v>
      </c>
      <c r="K102" s="4">
        <f>H102*G102</f>
        <v>62.500650499999999</v>
      </c>
      <c r="L102" s="4">
        <f>J102-K102</f>
        <v>4.4456907500000042</v>
      </c>
      <c r="M102" s="4">
        <f>K102/J102</f>
        <v>0.93359322306504688</v>
      </c>
      <c r="N102" s="6">
        <v>25</v>
      </c>
    </row>
    <row r="103" spans="2:14" x14ac:dyDescent="0.25">
      <c r="B103" s="6">
        <v>0.2</v>
      </c>
      <c r="C103" s="4">
        <f>1/(1-2*B103)</f>
        <v>1.6666666666666667</v>
      </c>
      <c r="D103" s="4" t="str">
        <f>TEXT(ROUND(E103,3),"#")&amp;"_"&amp;TEXT(B103,"0,##")</f>
        <v>24_0,2</v>
      </c>
      <c r="E103" s="7">
        <v>24.006</v>
      </c>
      <c r="F103" s="7">
        <v>6.1676000000000002</v>
      </c>
      <c r="G103" s="7">
        <v>38.890999999999998</v>
      </c>
      <c r="H103" s="7">
        <v>3.5316000000000001</v>
      </c>
      <c r="I103" s="4">
        <f>G103/E103</f>
        <v>1.6200533200033325</v>
      </c>
      <c r="J103" s="4">
        <f>F103*E103</f>
        <v>148.05940560000002</v>
      </c>
      <c r="K103" s="4">
        <f>H103*G103</f>
        <v>137.34745559999999</v>
      </c>
      <c r="L103" s="4">
        <f>J103-K103</f>
        <v>10.71195000000003</v>
      </c>
      <c r="M103" s="4">
        <f>K103/J103</f>
        <v>0.9276509995660821</v>
      </c>
      <c r="N103" s="6">
        <v>11</v>
      </c>
    </row>
    <row r="104" spans="2:14" x14ac:dyDescent="0.25">
      <c r="C104" s="4"/>
      <c r="D104" s="4"/>
      <c r="E104" s="7"/>
      <c r="F104" s="7"/>
      <c r="G104" s="7"/>
      <c r="H104" s="7"/>
      <c r="I104" s="4"/>
      <c r="J104" s="4"/>
      <c r="K104" s="4"/>
      <c r="L104" s="4"/>
      <c r="M104" s="4"/>
    </row>
    <row r="105" spans="2:14" x14ac:dyDescent="0.25">
      <c r="B105" s="6">
        <v>0.25</v>
      </c>
      <c r="C105" s="4">
        <f t="shared" ref="C105:C110" si="56">1/(1-2*B105)</f>
        <v>2</v>
      </c>
      <c r="D105" s="4" t="str">
        <f t="shared" ref="D105:D110" si="57">TEXT(ROUND(E105,3),"#,#")&amp;"_"&amp;TEXT(B105,"0,##")</f>
        <v>3,3_0,25</v>
      </c>
      <c r="E105" s="7">
        <v>3.3023699999999998</v>
      </c>
      <c r="F105" s="7">
        <v>0.27622999999999998</v>
      </c>
      <c r="G105" s="7">
        <v>5.6356000000000002</v>
      </c>
      <c r="H105" s="7">
        <v>0.12417</v>
      </c>
      <c r="I105" s="4">
        <f t="shared" ref="I105:I110" si="58">G105/E105</f>
        <v>1.7065319755206112</v>
      </c>
      <c r="J105" s="4">
        <f t="shared" ref="J105:J110" si="59">F105*E105</f>
        <v>0.9122136650999999</v>
      </c>
      <c r="K105" s="4">
        <f t="shared" ref="K105:K110" si="60">H105*G105</f>
        <v>0.69977245200000004</v>
      </c>
      <c r="L105" s="4">
        <f t="shared" ref="L105:L110" si="61">J105-K105</f>
        <v>0.21244121309999986</v>
      </c>
      <c r="M105" s="4">
        <f t="shared" ref="M105:M110" si="62">K105/J105</f>
        <v>0.76711463418308767</v>
      </c>
      <c r="N105" s="6">
        <v>45</v>
      </c>
    </row>
    <row r="106" spans="2:14" x14ac:dyDescent="0.25">
      <c r="B106" s="6">
        <v>0.25</v>
      </c>
      <c r="C106" s="4">
        <f t="shared" si="56"/>
        <v>2</v>
      </c>
      <c r="D106" s="4" t="str">
        <f t="shared" si="57"/>
        <v>3,3_0,25</v>
      </c>
      <c r="E106" s="7">
        <v>3.3018999999999998</v>
      </c>
      <c r="F106" s="7">
        <v>0.57576000000000005</v>
      </c>
      <c r="G106" s="7">
        <v>5.43</v>
      </c>
      <c r="H106" s="7">
        <v>0.26949000000000001</v>
      </c>
      <c r="I106" s="4">
        <f t="shared" si="58"/>
        <v>1.6445077076834549</v>
      </c>
      <c r="J106" s="4">
        <f t="shared" si="59"/>
        <v>1.9011019440000001</v>
      </c>
      <c r="K106" s="4">
        <f t="shared" si="60"/>
        <v>1.4633307</v>
      </c>
      <c r="L106" s="4">
        <f t="shared" si="61"/>
        <v>0.43777124400000011</v>
      </c>
      <c r="M106" s="4">
        <f t="shared" si="62"/>
        <v>0.76972763329097937</v>
      </c>
      <c r="N106" s="6">
        <v>20</v>
      </c>
    </row>
    <row r="107" spans="2:14" x14ac:dyDescent="0.25">
      <c r="B107" s="6">
        <v>0.25</v>
      </c>
      <c r="C107" s="4">
        <f t="shared" si="56"/>
        <v>2</v>
      </c>
      <c r="D107" s="4" t="str">
        <f t="shared" si="57"/>
        <v>3,3_0,25</v>
      </c>
      <c r="E107" s="7">
        <v>3.3033999999999999</v>
      </c>
      <c r="F107" s="7">
        <v>1.0875300000000001</v>
      </c>
      <c r="G107" s="7">
        <v>5.2234999999999996</v>
      </c>
      <c r="H107" s="7">
        <v>0.51817999999999997</v>
      </c>
      <c r="I107" s="4">
        <f t="shared" si="58"/>
        <v>1.5812496216019858</v>
      </c>
      <c r="J107" s="4">
        <f t="shared" si="59"/>
        <v>3.5925466020000001</v>
      </c>
      <c r="K107" s="4">
        <f t="shared" si="60"/>
        <v>2.7067132299999996</v>
      </c>
      <c r="L107" s="4">
        <f t="shared" si="61"/>
        <v>0.88583337200000045</v>
      </c>
      <c r="M107" s="4">
        <f t="shared" si="62"/>
        <v>0.75342466775327288</v>
      </c>
      <c r="N107" s="6">
        <v>10</v>
      </c>
    </row>
    <row r="108" spans="2:14" x14ac:dyDescent="0.25">
      <c r="B108" s="6">
        <v>0.25</v>
      </c>
      <c r="C108" s="4">
        <f t="shared" si="56"/>
        <v>2</v>
      </c>
      <c r="D108" s="4" t="str">
        <f t="shared" si="57"/>
        <v>3,3_0,25</v>
      </c>
      <c r="E108" s="7">
        <v>3.3059599999999998</v>
      </c>
      <c r="F108" s="7">
        <v>2.0255999999999998</v>
      </c>
      <c r="G108" s="7">
        <v>4.9424999999999999</v>
      </c>
      <c r="H108" s="7">
        <v>0.97423000000000004</v>
      </c>
      <c r="I108" s="4">
        <f t="shared" si="58"/>
        <v>1.495027163063074</v>
      </c>
      <c r="J108" s="4">
        <f t="shared" si="59"/>
        <v>6.6965525759999993</v>
      </c>
      <c r="K108" s="4">
        <f t="shared" si="60"/>
        <v>4.8151317750000002</v>
      </c>
      <c r="L108" s="4">
        <f t="shared" si="61"/>
        <v>1.8814208009999991</v>
      </c>
      <c r="M108" s="4">
        <f t="shared" si="62"/>
        <v>0.71904636308794367</v>
      </c>
      <c r="N108" s="6">
        <v>5</v>
      </c>
    </row>
    <row r="109" spans="2:14" x14ac:dyDescent="0.25">
      <c r="B109" s="6">
        <v>0.25</v>
      </c>
      <c r="C109" s="4">
        <f t="shared" si="56"/>
        <v>2</v>
      </c>
      <c r="D109" s="4" t="str">
        <f t="shared" si="57"/>
        <v>3,3_0,25</v>
      </c>
      <c r="E109" s="7">
        <v>3.3018999999999998</v>
      </c>
      <c r="F109" s="7">
        <v>3.6429999999999998</v>
      </c>
      <c r="G109" s="7">
        <v>4.5218999999999996</v>
      </c>
      <c r="H109" s="7">
        <v>1.7615000000000001</v>
      </c>
      <c r="I109" s="4">
        <f t="shared" si="58"/>
        <v>1.3694842363487689</v>
      </c>
      <c r="J109" s="4">
        <f t="shared" si="59"/>
        <v>12.028821699999998</v>
      </c>
      <c r="K109" s="4">
        <f t="shared" si="60"/>
        <v>7.9653268499999994</v>
      </c>
      <c r="L109" s="4">
        <f t="shared" si="61"/>
        <v>4.0634948499999988</v>
      </c>
      <c r="M109" s="4">
        <f t="shared" si="62"/>
        <v>0.66218679174536277</v>
      </c>
      <c r="N109" s="6">
        <v>2.5</v>
      </c>
    </row>
    <row r="110" spans="2:14" x14ac:dyDescent="0.25">
      <c r="B110" s="6">
        <v>0.25</v>
      </c>
      <c r="C110" s="4">
        <f t="shared" si="56"/>
        <v>2</v>
      </c>
      <c r="D110" s="4" t="str">
        <f t="shared" si="57"/>
        <v>3,3_0,25</v>
      </c>
      <c r="E110" s="7">
        <v>3.306</v>
      </c>
      <c r="F110" s="7">
        <v>5.9889999999999999</v>
      </c>
      <c r="G110" s="7">
        <v>4.1319999999999997</v>
      </c>
      <c r="H110" s="7">
        <v>2.9089999999999998</v>
      </c>
      <c r="I110" s="4">
        <f t="shared" si="58"/>
        <v>1.2498487598306109</v>
      </c>
      <c r="J110" s="4">
        <f t="shared" si="59"/>
        <v>19.799634000000001</v>
      </c>
      <c r="K110" s="4">
        <f t="shared" si="60"/>
        <v>12.019987999999998</v>
      </c>
      <c r="L110" s="4">
        <f t="shared" si="61"/>
        <v>7.7796460000000032</v>
      </c>
      <c r="M110" s="4">
        <f t="shared" si="62"/>
        <v>0.60708132281637106</v>
      </c>
      <c r="N110" s="6">
        <v>1.35</v>
      </c>
    </row>
    <row r="112" spans="2:14" x14ac:dyDescent="0.25">
      <c r="B112" s="6">
        <v>0.25</v>
      </c>
      <c r="C112" s="4">
        <f>1/(1-2*B112)</f>
        <v>2</v>
      </c>
      <c r="D112" s="4" t="str">
        <f>TEXT(ROUND(E112,3),"#")&amp;"_"&amp;TEXT(B112,"0,##")</f>
        <v>5_0,25</v>
      </c>
      <c r="E112" s="7">
        <v>5.0126999999999997</v>
      </c>
      <c r="F112" s="7">
        <v>0.41935</v>
      </c>
      <c r="G112" s="7">
        <v>9.1052999999999997</v>
      </c>
      <c r="H112" s="7">
        <v>0.18951000000000001</v>
      </c>
      <c r="I112" s="4">
        <f>G112/E112</f>
        <v>1.8164462265844754</v>
      </c>
      <c r="J112" s="4">
        <f>F112*E112</f>
        <v>2.1020757450000001</v>
      </c>
      <c r="K112" s="4">
        <f>H112*G112</f>
        <v>1.7255454030000001</v>
      </c>
      <c r="L112" s="4">
        <f>J112-K112</f>
        <v>0.37653034199999991</v>
      </c>
      <c r="M112" s="4">
        <f>K112/J112</f>
        <v>0.82087689137957309</v>
      </c>
      <c r="N112" s="6">
        <v>48</v>
      </c>
    </row>
    <row r="113" spans="2:14" x14ac:dyDescent="0.25">
      <c r="B113" s="6">
        <v>0.25</v>
      </c>
      <c r="C113" s="4">
        <f>1/(1-2*B113)</f>
        <v>2</v>
      </c>
      <c r="D113" s="4" t="str">
        <f>TEXT(ROUND(E113,3),"#")&amp;"_"&amp;TEXT(B113,"0,##")</f>
        <v>5_0,25</v>
      </c>
      <c r="E113" s="7">
        <v>5.0057999999999998</v>
      </c>
      <c r="F113" s="7">
        <v>0.78856000000000004</v>
      </c>
      <c r="G113" s="7">
        <v>8.8780000000000001</v>
      </c>
      <c r="H113" s="7">
        <v>0.36837999999999999</v>
      </c>
      <c r="I113" s="4">
        <f>G113/E113</f>
        <v>1.7735426904790443</v>
      </c>
      <c r="J113" s="4">
        <f>F113*E113</f>
        <v>3.9473736480000001</v>
      </c>
      <c r="K113" s="4">
        <f>H113*G113</f>
        <v>3.2704776399999997</v>
      </c>
      <c r="L113" s="4">
        <f>J113-K113</f>
        <v>0.67689600800000038</v>
      </c>
      <c r="M113" s="4">
        <f>K113/J113</f>
        <v>0.82851990504041584</v>
      </c>
      <c r="N113" s="6">
        <v>24</v>
      </c>
    </row>
    <row r="114" spans="2:14" x14ac:dyDescent="0.25">
      <c r="B114" s="6">
        <v>0.25</v>
      </c>
      <c r="C114" s="4">
        <f>1/(1-2*B114)</f>
        <v>2</v>
      </c>
      <c r="D114" s="4" t="str">
        <f>TEXT(ROUND(E114,3),"#")&amp;"_"&amp;TEXT(B114,"0,##")</f>
        <v>5_0,25</v>
      </c>
      <c r="E114" s="7">
        <v>5.0069999999999997</v>
      </c>
      <c r="F114" s="7">
        <v>1.5007999999999999</v>
      </c>
      <c r="G114" s="7">
        <v>8.6202000000000005</v>
      </c>
      <c r="H114" s="7">
        <v>0.71362000000000003</v>
      </c>
      <c r="I114" s="4">
        <f>G114/E114</f>
        <v>1.7216297183942482</v>
      </c>
      <c r="J114" s="4">
        <f>F114*E114</f>
        <v>7.5145055999999988</v>
      </c>
      <c r="K114" s="4">
        <f>H114*G114</f>
        <v>6.1515471240000004</v>
      </c>
      <c r="L114" s="4">
        <f>J114-K114</f>
        <v>1.3629584759999984</v>
      </c>
      <c r="M114" s="4">
        <f>K114/J114</f>
        <v>0.81862300082656159</v>
      </c>
      <c r="N114" s="6">
        <v>12</v>
      </c>
    </row>
    <row r="115" spans="2:14" x14ac:dyDescent="0.25">
      <c r="B115" s="6">
        <v>0.25</v>
      </c>
      <c r="C115" s="4">
        <f>1/(1-2*B115)</f>
        <v>2</v>
      </c>
      <c r="D115" s="4" t="str">
        <f>TEXT(ROUND(E115,3),"#")&amp;"_"&amp;TEXT(B115,"0,##")</f>
        <v>5_0,25</v>
      </c>
      <c r="E115" s="7">
        <v>5.0129000000000001</v>
      </c>
      <c r="F115" s="7">
        <v>2.8302</v>
      </c>
      <c r="G115" s="7">
        <v>8.2464999999999993</v>
      </c>
      <c r="H115" s="7">
        <v>1.3581000000000001</v>
      </c>
      <c r="I115" s="4">
        <f>G115/E115</f>
        <v>1.645055756149135</v>
      </c>
      <c r="J115" s="4">
        <f>F115*E115</f>
        <v>14.18750958</v>
      </c>
      <c r="K115" s="4">
        <f>H115*G115</f>
        <v>11.199571649999999</v>
      </c>
      <c r="L115" s="4">
        <f>J115-K115</f>
        <v>2.9879379300000011</v>
      </c>
      <c r="M115" s="4">
        <f>K115/J115</f>
        <v>0.78939658767088561</v>
      </c>
      <c r="N115" s="6">
        <v>6</v>
      </c>
    </row>
    <row r="116" spans="2:14" x14ac:dyDescent="0.25">
      <c r="B116" s="6">
        <v>0.25</v>
      </c>
      <c r="C116" s="4">
        <f>1/(1-2*B116)</f>
        <v>2</v>
      </c>
      <c r="D116" s="4" t="str">
        <f>TEXT(ROUND(E116,3),"#")&amp;"_"&amp;TEXT(B116,"0,##")</f>
        <v>5_0,25</v>
      </c>
      <c r="E116" s="7">
        <v>5.0004</v>
      </c>
      <c r="F116" s="7">
        <v>5.2156000000000002</v>
      </c>
      <c r="G116" s="7">
        <v>7.7110000000000003</v>
      </c>
      <c r="H116" s="7">
        <v>2.5135000000000001</v>
      </c>
      <c r="I116" s="4">
        <f>G116/E116</f>
        <v>1.5420766338692906</v>
      </c>
      <c r="J116" s="4">
        <f>F116*E116</f>
        <v>26.08008624</v>
      </c>
      <c r="K116" s="4">
        <f>H116*G116</f>
        <v>19.381598500000003</v>
      </c>
      <c r="L116" s="4">
        <f>J116-K116</f>
        <v>6.6984877399999974</v>
      </c>
      <c r="M116" s="4">
        <f>K116/J116</f>
        <v>0.74315699425386572</v>
      </c>
      <c r="N116" s="6">
        <v>3</v>
      </c>
    </row>
    <row r="118" spans="2:14" x14ac:dyDescent="0.25">
      <c r="B118" s="6">
        <v>0.25</v>
      </c>
      <c r="C118" s="4">
        <f>1/(1-2*B118)</f>
        <v>2</v>
      </c>
      <c r="D118" s="4" t="str">
        <f>TEXT(ROUND(E118,3),"#")&amp;"_"&amp;TEXT(B118,"0,##")</f>
        <v>9_0,25</v>
      </c>
      <c r="E118" s="7">
        <v>9.0047999999999995</v>
      </c>
      <c r="F118" s="7">
        <v>0.75636000000000003</v>
      </c>
      <c r="G118" s="7">
        <v>17.248000000000001</v>
      </c>
      <c r="H118" s="7">
        <v>0.34406999999999999</v>
      </c>
      <c r="I118" s="4">
        <f>G118/E118</f>
        <v>1.9154228855721396</v>
      </c>
      <c r="J118" s="4">
        <f>F118*E118</f>
        <v>6.8108705279999997</v>
      </c>
      <c r="K118" s="4">
        <f>H118*G118</f>
        <v>5.9345193600000004</v>
      </c>
      <c r="L118" s="4">
        <f>J118-K118</f>
        <v>0.87635116799999935</v>
      </c>
      <c r="M118" s="4">
        <f>K118/J118</f>
        <v>0.87133052017399926</v>
      </c>
      <c r="N118" s="6">
        <v>50</v>
      </c>
    </row>
    <row r="119" spans="2:14" x14ac:dyDescent="0.25">
      <c r="B119" s="6">
        <v>0.25</v>
      </c>
      <c r="C119" s="4">
        <f>1/(1-2*B119)</f>
        <v>2</v>
      </c>
      <c r="D119" s="4" t="str">
        <f>TEXT(ROUND(E119,3),"#")&amp;"_"&amp;TEXT(B119,"0,##")</f>
        <v>9_0,25</v>
      </c>
      <c r="E119" s="7">
        <v>9.0042000000000009</v>
      </c>
      <c r="F119" s="7">
        <v>1.4457800000000001</v>
      </c>
      <c r="G119" s="7">
        <v>16.942</v>
      </c>
      <c r="H119" s="7">
        <v>0.67684</v>
      </c>
      <c r="I119" s="4">
        <f>G119/E119</f>
        <v>1.8815663801337152</v>
      </c>
      <c r="J119" s="4">
        <f>F119*E119</f>
        <v>13.018092276000003</v>
      </c>
      <c r="K119" s="4">
        <f>H119*G119</f>
        <v>11.467023279999999</v>
      </c>
      <c r="L119" s="4">
        <f>J119-K119</f>
        <v>1.5510689960000033</v>
      </c>
      <c r="M119" s="4">
        <f>K119/J119</f>
        <v>0.88085281905248625</v>
      </c>
      <c r="N119" s="6">
        <v>25</v>
      </c>
    </row>
    <row r="120" spans="2:14" x14ac:dyDescent="0.25">
      <c r="B120" s="6">
        <v>0.25</v>
      </c>
      <c r="C120" s="4">
        <f>1/(1-2*B120)</f>
        <v>2</v>
      </c>
      <c r="D120" s="4" t="str">
        <f>TEXT(ROUND(E120,3),"#")&amp;"_"&amp;TEXT(B120,"0,##")</f>
        <v>9_0,25</v>
      </c>
      <c r="E120" s="7">
        <v>9.0052000000000003</v>
      </c>
      <c r="F120" s="7">
        <v>2.774</v>
      </c>
      <c r="G120" s="7">
        <v>16.547000000000001</v>
      </c>
      <c r="H120" s="7">
        <v>1.31778</v>
      </c>
      <c r="I120" s="4">
        <f>G120/E120</f>
        <v>1.8374938924177142</v>
      </c>
      <c r="J120" s="4">
        <f>F120*E120</f>
        <v>24.980424800000002</v>
      </c>
      <c r="K120" s="4">
        <f>H120*G120</f>
        <v>21.805305659999998</v>
      </c>
      <c r="L120" s="4">
        <f>J120-K120</f>
        <v>3.1751191400000032</v>
      </c>
      <c r="M120" s="4">
        <f>K120/J120</f>
        <v>0.87289571072466299</v>
      </c>
      <c r="N120" s="6">
        <v>12.5</v>
      </c>
    </row>
    <row r="121" spans="2:14" x14ac:dyDescent="0.25">
      <c r="B121" s="6">
        <v>0.25</v>
      </c>
      <c r="C121" s="4">
        <f>1/(1-2*B121)</f>
        <v>2</v>
      </c>
      <c r="D121" s="4" t="str">
        <f>TEXT(ROUND(E121,3),"#")&amp;"_"&amp;TEXT(B121,"0,##")</f>
        <v>9_0,25</v>
      </c>
      <c r="E121" s="7">
        <v>9.0477000000000007</v>
      </c>
      <c r="F121" s="7">
        <v>6.0053000000000001</v>
      </c>
      <c r="G121" s="7">
        <v>15.9899</v>
      </c>
      <c r="H121" s="7">
        <v>2.87277</v>
      </c>
      <c r="I121" s="4">
        <f>G121/E121</f>
        <v>1.7672889242569934</v>
      </c>
      <c r="J121" s="4">
        <f>F121*E121</f>
        <v>54.334152810000006</v>
      </c>
      <c r="K121" s="4">
        <f>H121*G121</f>
        <v>45.935305023000005</v>
      </c>
      <c r="L121" s="4">
        <f>J121-K121</f>
        <v>8.3988477870000011</v>
      </c>
      <c r="M121" s="4">
        <f>K121/J121</f>
        <v>0.84542231078176999</v>
      </c>
      <c r="N121" s="6">
        <v>5.5</v>
      </c>
    </row>
    <row r="122" spans="2:14" x14ac:dyDescent="0.25">
      <c r="C122" s="4"/>
      <c r="D122" s="4"/>
      <c r="E122" s="7"/>
      <c r="F122" s="7"/>
      <c r="G122" s="7"/>
      <c r="H122" s="7"/>
      <c r="I122" s="4"/>
      <c r="J122" s="4"/>
      <c r="K122" s="4"/>
      <c r="L122" s="4"/>
      <c r="M122" s="4"/>
    </row>
    <row r="123" spans="2:14" x14ac:dyDescent="0.25">
      <c r="B123" s="6">
        <v>0.25</v>
      </c>
      <c r="C123" s="4">
        <f>1/(1-2*B123)</f>
        <v>2</v>
      </c>
      <c r="D123" s="4" t="str">
        <f>TEXT(ROUND(E123,3),"#")&amp;"_"&amp;TEXT(B123,"0,##")</f>
        <v>12_0,25</v>
      </c>
      <c r="E123" s="7">
        <v>12.008599999999999</v>
      </c>
      <c r="F123" s="7">
        <v>1.02704</v>
      </c>
      <c r="G123" s="7">
        <v>23.440999999999999</v>
      </c>
      <c r="H123" s="7">
        <v>0.46844000000000002</v>
      </c>
      <c r="I123" s="4">
        <f>G123/E123</f>
        <v>1.9520177206335461</v>
      </c>
      <c r="J123" s="4">
        <f>F123*E123</f>
        <v>12.333312543999998</v>
      </c>
      <c r="K123" s="4">
        <f>H123*G123</f>
        <v>10.980702040000001</v>
      </c>
      <c r="L123" s="4">
        <f>J123-K123</f>
        <v>1.3526105039999976</v>
      </c>
      <c r="M123" s="4">
        <f>K123/J123</f>
        <v>0.89032869318972818</v>
      </c>
      <c r="N123" s="6">
        <v>50</v>
      </c>
    </row>
    <row r="124" spans="2:14" x14ac:dyDescent="0.25">
      <c r="B124" s="6">
        <v>0.25</v>
      </c>
      <c r="C124" s="4">
        <f>1/(1-2*B124)</f>
        <v>2</v>
      </c>
      <c r="D124" s="4" t="str">
        <f>TEXT(ROUND(E124,3),"#")&amp;"_"&amp;TEXT(B124,"0,##")</f>
        <v>12_0,25</v>
      </c>
      <c r="E124" s="7">
        <v>12.0152</v>
      </c>
      <c r="F124" s="7">
        <v>1.9688000000000001</v>
      </c>
      <c r="G124" s="7">
        <v>23.068000000000001</v>
      </c>
      <c r="H124" s="7">
        <v>0.92122999999999999</v>
      </c>
      <c r="I124" s="4">
        <f>G124/E124</f>
        <v>1.9199014581530063</v>
      </c>
      <c r="J124" s="4">
        <f>F124*E124</f>
        <v>23.65552576</v>
      </c>
      <c r="K124" s="4">
        <f>H124*G124</f>
        <v>21.25093364</v>
      </c>
      <c r="L124" s="4">
        <f>J124-K124</f>
        <v>2.4045921200000002</v>
      </c>
      <c r="M124" s="4">
        <f>K124/J124</f>
        <v>0.89834966491989732</v>
      </c>
      <c r="N124" s="6">
        <v>25</v>
      </c>
    </row>
    <row r="125" spans="2:14" x14ac:dyDescent="0.25">
      <c r="B125" s="6">
        <v>0.25</v>
      </c>
      <c r="C125" s="4">
        <f>1/(1-2*B125)</f>
        <v>2</v>
      </c>
      <c r="D125" s="4" t="str">
        <f>TEXT(ROUND(E125,3),"#")&amp;"_"&amp;TEXT(B125,"0,##")</f>
        <v>12_0,25</v>
      </c>
      <c r="E125" s="7">
        <v>12.042999999999999</v>
      </c>
      <c r="F125" s="7">
        <v>3.794</v>
      </c>
      <c r="G125" s="7">
        <v>22.585999999999999</v>
      </c>
      <c r="H125" s="7">
        <v>1.7985</v>
      </c>
      <c r="I125" s="4">
        <f>G125/E125</f>
        <v>1.8754463173627833</v>
      </c>
      <c r="J125" s="4">
        <f>F125*E125</f>
        <v>45.691141999999999</v>
      </c>
      <c r="K125" s="4">
        <f>H125*G125</f>
        <v>40.620920999999996</v>
      </c>
      <c r="L125" s="4">
        <f>J125-K125</f>
        <v>5.0702210000000036</v>
      </c>
      <c r="M125" s="4">
        <f>K125/J125</f>
        <v>0.88903273636714963</v>
      </c>
      <c r="N125" s="6">
        <v>12.5</v>
      </c>
    </row>
    <row r="126" spans="2:14" x14ac:dyDescent="0.25">
      <c r="B126" s="6">
        <v>0.25</v>
      </c>
      <c r="C126" s="4">
        <f>1/(1-2*B126)</f>
        <v>2</v>
      </c>
      <c r="D126" s="4" t="str">
        <f>TEXT(ROUND(E126,3),"#")&amp;"_"&amp;TEXT(B126,"0,##")</f>
        <v>12_0,25</v>
      </c>
      <c r="E126" s="7">
        <v>12.0152</v>
      </c>
      <c r="F126" s="7">
        <v>6.1285999999999996</v>
      </c>
      <c r="G126" s="7">
        <v>22.04</v>
      </c>
      <c r="H126" s="7">
        <v>2.9192999999999998</v>
      </c>
      <c r="I126" s="4">
        <f>G126/E126</f>
        <v>1.8343431653239231</v>
      </c>
      <c r="J126" s="4">
        <f>F126*E126</f>
        <v>73.63635472</v>
      </c>
      <c r="K126" s="4">
        <f>H126*G126</f>
        <v>64.341371999999993</v>
      </c>
      <c r="L126" s="4">
        <f>J126-K126</f>
        <v>9.2949827200000072</v>
      </c>
      <c r="M126" s="4">
        <f>K126/J126</f>
        <v>0.87377182432042033</v>
      </c>
      <c r="N126" s="6">
        <v>7.5</v>
      </c>
    </row>
    <row r="128" spans="2:14" x14ac:dyDescent="0.25">
      <c r="B128" s="6">
        <v>0.25</v>
      </c>
      <c r="C128" s="4">
        <f>1/(1-2*B128)</f>
        <v>2</v>
      </c>
      <c r="D128" s="4" t="str">
        <f>TEXT(ROUND(E128,3),"#")&amp;"_"&amp;TEXT(B128,"0,##")</f>
        <v>24_0,25</v>
      </c>
      <c r="E128" s="7">
        <v>24.003</v>
      </c>
      <c r="F128" s="7">
        <v>2.1030099999999998</v>
      </c>
      <c r="G128" s="7">
        <v>48.103400000000001</v>
      </c>
      <c r="H128" s="7">
        <v>0.96228000000000002</v>
      </c>
      <c r="I128" s="4">
        <f>G128/E128</f>
        <v>2.0040578261050701</v>
      </c>
      <c r="J128" s="4">
        <f>F128*E128</f>
        <v>50.478549029999996</v>
      </c>
      <c r="K128" s="4">
        <f>H128*G128</f>
        <v>46.288939752000005</v>
      </c>
      <c r="L128" s="4">
        <f>J128-K128</f>
        <v>4.1896092779999918</v>
      </c>
      <c r="M128" s="4">
        <f>K128/J128</f>
        <v>0.91700218491799246</v>
      </c>
      <c r="N128" s="6">
        <v>50</v>
      </c>
    </row>
    <row r="129" spans="2:14" x14ac:dyDescent="0.25">
      <c r="B129" s="6">
        <v>0.25</v>
      </c>
      <c r="C129" s="4">
        <f>1/(1-2*B129)</f>
        <v>2</v>
      </c>
      <c r="D129" s="4" t="str">
        <f>TEXT(ROUND(E129,3),"#")&amp;"_"&amp;TEXT(B129,"0,##")</f>
        <v>24_0,25</v>
      </c>
      <c r="E129" s="7">
        <v>24.064900000000002</v>
      </c>
      <c r="F129" s="7">
        <v>3.4327999999999999</v>
      </c>
      <c r="G129" s="7">
        <v>47.814999999999998</v>
      </c>
      <c r="H129" s="7">
        <v>1.5956999999999999</v>
      </c>
      <c r="I129" s="4">
        <f>G129/E129</f>
        <v>1.9869187073289312</v>
      </c>
      <c r="J129" s="4">
        <f>F129*E129</f>
        <v>82.609988720000004</v>
      </c>
      <c r="K129" s="4">
        <f>H129*G129</f>
        <v>76.298395499999998</v>
      </c>
      <c r="L129" s="4">
        <f>J129-K129</f>
        <v>6.311593220000006</v>
      </c>
      <c r="M129" s="4">
        <f>K129/J129</f>
        <v>0.92359769904590294</v>
      </c>
      <c r="N129" s="6">
        <v>30</v>
      </c>
    </row>
    <row r="130" spans="2:14" x14ac:dyDescent="0.25">
      <c r="B130" s="6">
        <v>0.25</v>
      </c>
      <c r="C130" s="4">
        <f>1/(1-2*B130)</f>
        <v>2</v>
      </c>
      <c r="D130" s="4" t="str">
        <f>TEXT(ROUND(E130,3),"#")&amp;"_"&amp;TEXT(B130,"0,##")</f>
        <v>24_0,25</v>
      </c>
      <c r="E130" s="7">
        <v>24.028099999999998</v>
      </c>
      <c r="F130" s="7">
        <v>5.0731999999999999</v>
      </c>
      <c r="G130" s="7">
        <v>47.384999999999998</v>
      </c>
      <c r="H130" s="7">
        <v>2.3765000000000001</v>
      </c>
      <c r="I130" s="4">
        <f>G130/E130</f>
        <v>1.9720660393455995</v>
      </c>
      <c r="J130" s="4">
        <f>F130*E130</f>
        <v>121.89935691999999</v>
      </c>
      <c r="K130" s="4">
        <f>H130*G130</f>
        <v>112.61045249999999</v>
      </c>
      <c r="L130" s="4">
        <f>J130-K130</f>
        <v>9.2889044199999944</v>
      </c>
      <c r="M130" s="4">
        <f>K130/J130</f>
        <v>0.92379857732886883</v>
      </c>
      <c r="N130" s="6">
        <v>20</v>
      </c>
    </row>
    <row r="131" spans="2:14" x14ac:dyDescent="0.25">
      <c r="B131" s="6">
        <v>0.25</v>
      </c>
      <c r="C131" s="4">
        <f>1/(1-2*B131)</f>
        <v>2</v>
      </c>
      <c r="D131" s="4" t="str">
        <f>TEXT(ROUND(E131,3),"#")&amp;"_"&amp;TEXT(B131,"0,##")</f>
        <v>24_0,25</v>
      </c>
      <c r="E131" s="7">
        <v>24.013000000000002</v>
      </c>
      <c r="F131" s="7">
        <v>6.0651000000000002</v>
      </c>
      <c r="G131" s="7">
        <v>47.14</v>
      </c>
      <c r="H131" s="7">
        <v>2.8490000000000002</v>
      </c>
      <c r="I131" s="4">
        <f>G131/E131</f>
        <v>1.9631033190355223</v>
      </c>
      <c r="J131" s="4">
        <f>F131*E131</f>
        <v>145.64124630000001</v>
      </c>
      <c r="K131" s="4">
        <f>H131*G131</f>
        <v>134.30186</v>
      </c>
      <c r="L131" s="4">
        <f>J131-K131</f>
        <v>11.339386300000001</v>
      </c>
      <c r="M131" s="4">
        <f>K131/J131</f>
        <v>0.92214165569111861</v>
      </c>
      <c r="N131" s="6">
        <v>16.5</v>
      </c>
    </row>
    <row r="133" spans="2:14" x14ac:dyDescent="0.25">
      <c r="B133" s="7">
        <f t="shared" ref="B133:B138" si="63">1/3</f>
        <v>0.33333333333333331</v>
      </c>
      <c r="C133" s="4">
        <f t="shared" ref="C133:C138" si="64">1/(1-2*B133)</f>
        <v>2.9999999999999996</v>
      </c>
      <c r="D133" s="4" t="str">
        <f t="shared" ref="D133:D138" si="65">TEXT(ROUND(E133,3),"#,#")&amp;"_"&amp;TEXT(B133,"0,##")</f>
        <v>3,3_0,33</v>
      </c>
      <c r="E133" s="7">
        <v>3.3075000000000001</v>
      </c>
      <c r="F133" s="7">
        <v>0.41620000000000001</v>
      </c>
      <c r="G133" s="7">
        <v>8.7957000000000001</v>
      </c>
      <c r="H133" s="7">
        <v>0.11681999999999999</v>
      </c>
      <c r="I133" s="4">
        <f t="shared" ref="I133:I138" si="66">G133/E133</f>
        <v>2.6593197278911562</v>
      </c>
      <c r="J133" s="4">
        <f t="shared" ref="J133:J138" si="67">F133*E133</f>
        <v>1.3765815000000001</v>
      </c>
      <c r="K133" s="4">
        <f t="shared" ref="K133:K138" si="68">H133*G133</f>
        <v>1.0275136739999999</v>
      </c>
      <c r="L133" s="4">
        <f t="shared" ref="L133:L138" si="69">J133-K133</f>
        <v>0.34906782600000019</v>
      </c>
      <c r="M133" s="4">
        <f t="shared" ref="M133:M138" si="70">K133/J133</f>
        <v>0.74642414851572525</v>
      </c>
      <c r="N133" s="6">
        <v>75</v>
      </c>
    </row>
    <row r="134" spans="2:14" x14ac:dyDescent="0.25">
      <c r="B134" s="7">
        <f t="shared" si="63"/>
        <v>0.33333333333333331</v>
      </c>
      <c r="C134" s="4">
        <f t="shared" si="64"/>
        <v>2.9999999999999996</v>
      </c>
      <c r="D134" s="4" t="str">
        <f t="shared" si="65"/>
        <v>3,3_0,33</v>
      </c>
      <c r="E134" s="7">
        <v>3.3007</v>
      </c>
      <c r="F134" s="7">
        <v>0.52680000000000005</v>
      </c>
      <c r="G134" s="7">
        <v>8.5939999999999994</v>
      </c>
      <c r="H134" s="7">
        <v>0.1527</v>
      </c>
      <c r="I134" s="4">
        <f t="shared" si="66"/>
        <v>2.6036901263368373</v>
      </c>
      <c r="J134" s="4">
        <f t="shared" si="67"/>
        <v>1.7388087600000002</v>
      </c>
      <c r="K134" s="4">
        <f t="shared" si="68"/>
        <v>1.3123038</v>
      </c>
      <c r="L134" s="4">
        <f t="shared" si="69"/>
        <v>0.42650496000000016</v>
      </c>
      <c r="M134" s="4">
        <f t="shared" si="70"/>
        <v>0.75471427921722678</v>
      </c>
      <c r="N134" s="6">
        <v>56</v>
      </c>
    </row>
    <row r="135" spans="2:14" x14ac:dyDescent="0.25">
      <c r="B135" s="7">
        <f t="shared" si="63"/>
        <v>0.33333333333333331</v>
      </c>
      <c r="C135" s="4">
        <f t="shared" si="64"/>
        <v>2.9999999999999996</v>
      </c>
      <c r="D135" s="4" t="str">
        <f t="shared" si="65"/>
        <v>3,3_0,33</v>
      </c>
      <c r="E135" s="7">
        <v>3.3033000000000001</v>
      </c>
      <c r="F135" s="7">
        <v>0.9738</v>
      </c>
      <c r="G135" s="7">
        <v>8.2993000000000006</v>
      </c>
      <c r="H135" s="7">
        <v>0.29487999999999998</v>
      </c>
      <c r="I135" s="4">
        <f t="shared" si="66"/>
        <v>2.5124269669724217</v>
      </c>
      <c r="J135" s="4">
        <f t="shared" si="67"/>
        <v>3.21675354</v>
      </c>
      <c r="K135" s="4">
        <f t="shared" si="68"/>
        <v>2.4472975839999997</v>
      </c>
      <c r="L135" s="4">
        <f t="shared" si="69"/>
        <v>0.76945595600000027</v>
      </c>
      <c r="M135" s="4">
        <f t="shared" si="70"/>
        <v>0.7607973547143434</v>
      </c>
      <c r="N135" s="6">
        <v>28</v>
      </c>
    </row>
    <row r="136" spans="2:14" x14ac:dyDescent="0.25">
      <c r="B136" s="7">
        <f t="shared" si="63"/>
        <v>0.33333333333333331</v>
      </c>
      <c r="C136" s="4">
        <f t="shared" si="64"/>
        <v>2.9999999999999996</v>
      </c>
      <c r="D136" s="4" t="str">
        <f t="shared" si="65"/>
        <v>3,3_0,33</v>
      </c>
      <c r="E136" s="7">
        <v>3.306</v>
      </c>
      <c r="F136" s="7">
        <v>1.8154999999999999</v>
      </c>
      <c r="G136" s="7">
        <v>7.92</v>
      </c>
      <c r="H136" s="7">
        <v>0.56259000000000003</v>
      </c>
      <c r="I136" s="4">
        <f t="shared" si="66"/>
        <v>2.3956442831215972</v>
      </c>
      <c r="J136" s="4">
        <f t="shared" si="67"/>
        <v>6.0020429999999996</v>
      </c>
      <c r="K136" s="4">
        <f t="shared" si="68"/>
        <v>4.4557128000000006</v>
      </c>
      <c r="L136" s="4">
        <f t="shared" si="69"/>
        <v>1.546330199999999</v>
      </c>
      <c r="M136" s="4">
        <f t="shared" si="70"/>
        <v>0.74236602436870258</v>
      </c>
      <c r="N136" s="6">
        <v>14</v>
      </c>
    </row>
    <row r="137" spans="2:14" x14ac:dyDescent="0.25">
      <c r="B137" s="7">
        <f t="shared" si="63"/>
        <v>0.33333333333333331</v>
      </c>
      <c r="C137" s="4">
        <f t="shared" si="64"/>
        <v>2.9999999999999996</v>
      </c>
      <c r="D137" s="4" t="str">
        <f t="shared" si="65"/>
        <v>3,3_0,33</v>
      </c>
      <c r="E137" s="7">
        <v>3.3022499999999999</v>
      </c>
      <c r="F137" s="7">
        <v>3.3094999999999999</v>
      </c>
      <c r="G137" s="7">
        <v>7.3330000000000002</v>
      </c>
      <c r="H137" s="7">
        <v>1.03695</v>
      </c>
      <c r="I137" s="4">
        <f t="shared" si="66"/>
        <v>2.2206071617836325</v>
      </c>
      <c r="J137" s="4">
        <f t="shared" si="67"/>
        <v>10.928796374999999</v>
      </c>
      <c r="K137" s="4">
        <f t="shared" si="68"/>
        <v>7.6039543500000004</v>
      </c>
      <c r="L137" s="4">
        <f t="shared" si="69"/>
        <v>3.3248420249999988</v>
      </c>
      <c r="M137" s="4">
        <f t="shared" si="70"/>
        <v>0.69577235123479009</v>
      </c>
      <c r="N137" s="6">
        <v>7</v>
      </c>
    </row>
    <row r="138" spans="2:14" x14ac:dyDescent="0.25">
      <c r="B138" s="7">
        <f t="shared" si="63"/>
        <v>0.33333333333333331</v>
      </c>
      <c r="C138" s="4">
        <f t="shared" si="64"/>
        <v>2.9999999999999996</v>
      </c>
      <c r="D138" s="4" t="str">
        <f t="shared" si="65"/>
        <v>3,3_0,33</v>
      </c>
      <c r="E138" s="7">
        <v>3.3</v>
      </c>
      <c r="F138" s="7">
        <v>6.0129999999999999</v>
      </c>
      <c r="G138" s="7">
        <v>6.42</v>
      </c>
      <c r="H138" s="7">
        <v>1.8996999999999999</v>
      </c>
      <c r="I138" s="4">
        <f t="shared" si="66"/>
        <v>1.9454545454545455</v>
      </c>
      <c r="J138" s="4">
        <f t="shared" si="67"/>
        <v>19.8429</v>
      </c>
      <c r="K138" s="4">
        <f t="shared" si="68"/>
        <v>12.196073999999999</v>
      </c>
      <c r="L138" s="4">
        <f t="shared" si="69"/>
        <v>7.6468260000000008</v>
      </c>
      <c r="M138" s="4">
        <f t="shared" si="70"/>
        <v>0.61463163146515876</v>
      </c>
      <c r="N138" s="6">
        <v>3.3</v>
      </c>
    </row>
    <row r="140" spans="2:14" x14ac:dyDescent="0.25">
      <c r="B140" s="7">
        <f>1/3</f>
        <v>0.33333333333333331</v>
      </c>
      <c r="C140" s="4">
        <f>1/(1-2*B140)</f>
        <v>2.9999999999999996</v>
      </c>
      <c r="D140" s="4" t="str">
        <f>TEXT(ROUND(E140,3),"#")&amp;"_"&amp;TEXT(B140,"0,##")</f>
        <v>5_0,33</v>
      </c>
      <c r="E140" s="7">
        <v>5.0095000000000001</v>
      </c>
      <c r="F140" s="7">
        <v>0.65885000000000005</v>
      </c>
      <c r="G140" s="7">
        <v>14.0648</v>
      </c>
      <c r="H140" s="7">
        <v>0.18722</v>
      </c>
      <c r="I140" s="4">
        <f>G140/E140</f>
        <v>2.8076255115280966</v>
      </c>
      <c r="J140" s="4">
        <f>F140*E140</f>
        <v>3.3005090750000003</v>
      </c>
      <c r="K140" s="4">
        <f>H140*G140</f>
        <v>2.633211856</v>
      </c>
      <c r="L140" s="4">
        <f>J140-K140</f>
        <v>0.66729721900000039</v>
      </c>
      <c r="M140" s="4">
        <f>K140/J140</f>
        <v>0.79781991085723636</v>
      </c>
      <c r="N140" s="6">
        <v>75</v>
      </c>
    </row>
    <row r="141" spans="2:14" x14ac:dyDescent="0.25">
      <c r="B141" s="7">
        <f>1/3</f>
        <v>0.33333333333333331</v>
      </c>
      <c r="C141" s="4">
        <f>1/(1-2*B141)</f>
        <v>2.9999999999999996</v>
      </c>
      <c r="D141" s="4" t="str">
        <f>TEXT(ROUND(E141,3),"#")&amp;"_"&amp;TEXT(B141,"0,##")</f>
        <v>5_0,33</v>
      </c>
      <c r="E141" s="7">
        <v>5.0072999999999999</v>
      </c>
      <c r="F141" s="7">
        <v>0.96919999999999995</v>
      </c>
      <c r="G141" s="7">
        <v>13.745699999999999</v>
      </c>
      <c r="H141" s="7">
        <v>0.28608</v>
      </c>
      <c r="I141" s="4">
        <f>G141/E141</f>
        <v>2.7451321071235997</v>
      </c>
      <c r="J141" s="4">
        <f>F141*E141</f>
        <v>4.8530751599999995</v>
      </c>
      <c r="K141" s="4">
        <f>H141*G141</f>
        <v>3.9323698559999998</v>
      </c>
      <c r="L141" s="4">
        <f>J141-K141</f>
        <v>0.92070530399999972</v>
      </c>
      <c r="M141" s="4">
        <f>K141/J141</f>
        <v>0.81028414486784917</v>
      </c>
      <c r="N141" s="6">
        <v>48</v>
      </c>
    </row>
    <row r="142" spans="2:14" x14ac:dyDescent="0.25">
      <c r="B142" s="7">
        <f>1/3</f>
        <v>0.33333333333333331</v>
      </c>
      <c r="C142" s="4">
        <f>1/(1-2*B142)</f>
        <v>2.9999999999999996</v>
      </c>
      <c r="D142" s="4" t="str">
        <f>TEXT(ROUND(E142,3),"#")&amp;"_"&amp;TEXT(B142,"0,##")</f>
        <v>5_0,33</v>
      </c>
      <c r="E142" s="7">
        <v>5.01</v>
      </c>
      <c r="F142" s="7">
        <v>1.8147599999999999</v>
      </c>
      <c r="G142" s="7">
        <v>13.3185</v>
      </c>
      <c r="H142" s="7">
        <v>0.55379999999999996</v>
      </c>
      <c r="I142" s="4">
        <f>G142/E142</f>
        <v>2.6583832335329345</v>
      </c>
      <c r="J142" s="4">
        <f>F142*E142</f>
        <v>9.0919475999999992</v>
      </c>
      <c r="K142" s="4">
        <f>H142*G142</f>
        <v>7.3757852999999995</v>
      </c>
      <c r="L142" s="4">
        <f>J142-K142</f>
        <v>1.7161622999999997</v>
      </c>
      <c r="M142" s="4">
        <f>K142/J142</f>
        <v>0.81124370976357152</v>
      </c>
      <c r="N142" s="6">
        <v>24</v>
      </c>
    </row>
    <row r="143" spans="2:14" x14ac:dyDescent="0.25">
      <c r="B143" s="7">
        <f>1/3</f>
        <v>0.33333333333333331</v>
      </c>
      <c r="C143" s="4">
        <f>1/(1-2*B143)</f>
        <v>2.9999999999999996</v>
      </c>
      <c r="D143" s="4" t="str">
        <f>TEXT(ROUND(E143,3),"#")&amp;"_"&amp;TEXT(B143,"0,##")</f>
        <v>5_0,33</v>
      </c>
      <c r="E143" s="7">
        <v>5.0061400000000003</v>
      </c>
      <c r="F143" s="7">
        <v>3.3982999999999999</v>
      </c>
      <c r="G143" s="7">
        <v>12.7</v>
      </c>
      <c r="H143" s="7">
        <v>1.05338</v>
      </c>
      <c r="I143" s="4">
        <f>G143/E143</f>
        <v>2.5368847055815458</v>
      </c>
      <c r="J143" s="4">
        <f>F143*E143</f>
        <v>17.012365561999999</v>
      </c>
      <c r="K143" s="4">
        <f>H143*G143</f>
        <v>13.377925999999999</v>
      </c>
      <c r="L143" s="4">
        <f>J143-K143</f>
        <v>3.6344395620000007</v>
      </c>
      <c r="M143" s="4">
        <f>K143/J143</f>
        <v>0.78636483275917035</v>
      </c>
      <c r="N143" s="6">
        <v>12</v>
      </c>
    </row>
    <row r="144" spans="2:14" x14ac:dyDescent="0.25">
      <c r="B144" s="7">
        <f>1/3</f>
        <v>0.33333333333333331</v>
      </c>
      <c r="C144" s="4">
        <f>1/(1-2*B144)</f>
        <v>2.9999999999999996</v>
      </c>
      <c r="D144" s="4" t="str">
        <f>TEXT(ROUND(E144,3),"#")&amp;"_"&amp;TEXT(B144,"0,##")</f>
        <v>5_0,33</v>
      </c>
      <c r="E144" s="7">
        <v>5.0335000000000001</v>
      </c>
      <c r="F144" s="7">
        <v>6.0650000000000004</v>
      </c>
      <c r="G144" s="7">
        <v>11.904</v>
      </c>
      <c r="H144" s="7">
        <v>1.8965000000000001</v>
      </c>
      <c r="I144" s="4">
        <f>G144/E144</f>
        <v>2.3649548028210985</v>
      </c>
      <c r="J144" s="4">
        <f>F144*E144</f>
        <v>30.528177500000002</v>
      </c>
      <c r="K144" s="4">
        <f>H144*G144</f>
        <v>22.575936000000002</v>
      </c>
      <c r="L144" s="4">
        <f>J144-K144</f>
        <v>7.9522414999999995</v>
      </c>
      <c r="M144" s="4">
        <f>K144/J144</f>
        <v>0.7395114235037451</v>
      </c>
      <c r="N144" s="6">
        <v>6.2</v>
      </c>
    </row>
    <row r="145" spans="2:14" x14ac:dyDescent="0.25">
      <c r="B145" s="7"/>
      <c r="C145" s="4"/>
      <c r="D145" s="4"/>
      <c r="E145" s="7"/>
      <c r="F145" s="7"/>
      <c r="G145" s="7"/>
      <c r="H145" s="7"/>
      <c r="I145" s="4"/>
      <c r="J145" s="4"/>
      <c r="K145" s="4"/>
      <c r="L145" s="4"/>
      <c r="M145" s="4"/>
    </row>
    <row r="146" spans="2:14" x14ac:dyDescent="0.25">
      <c r="B146" s="7">
        <f>1/3</f>
        <v>0.33333333333333331</v>
      </c>
      <c r="C146" s="4">
        <f>1/(1-2*B146)</f>
        <v>2.9999999999999996</v>
      </c>
      <c r="D146" s="4" t="str">
        <f>TEXT(ROUND(E146,3),"#")&amp;"_"&amp;TEXT(B146,"0,##")</f>
        <v>9_0,33</v>
      </c>
      <c r="E146" s="7">
        <v>9.0084</v>
      </c>
      <c r="F146" s="7">
        <v>1.2592000000000001</v>
      </c>
      <c r="G146" s="7">
        <v>26.452999999999999</v>
      </c>
      <c r="H146" s="7">
        <v>0.36232999999999999</v>
      </c>
      <c r="I146" s="4">
        <f>G146/E146</f>
        <v>2.9364815061498155</v>
      </c>
      <c r="J146" s="4">
        <f>F146*E146</f>
        <v>11.34337728</v>
      </c>
      <c r="K146" s="4">
        <f>H146*G146</f>
        <v>9.5847154899999989</v>
      </c>
      <c r="L146" s="4">
        <f>J146-K146</f>
        <v>1.7586617900000014</v>
      </c>
      <c r="M146" s="4">
        <f>K146/J146</f>
        <v>0.84496135969128228</v>
      </c>
      <c r="N146" s="6">
        <v>73</v>
      </c>
    </row>
    <row r="147" spans="2:14" x14ac:dyDescent="0.25">
      <c r="B147" s="7">
        <f>1/3</f>
        <v>0.33333333333333331</v>
      </c>
      <c r="C147" s="4">
        <f>1/(1-2*B147)</f>
        <v>2.9999999999999996</v>
      </c>
      <c r="D147" s="4" t="str">
        <f>TEXT(ROUND(E147,3),"#")&amp;"_"&amp;TEXT(B147,"0,##")</f>
        <v>9_0,33</v>
      </c>
      <c r="E147" s="7">
        <v>9.0027000000000008</v>
      </c>
      <c r="F147" s="7">
        <v>1.7028000000000001</v>
      </c>
      <c r="G147" s="7">
        <v>26.11</v>
      </c>
      <c r="H147" s="7">
        <v>0.50175999999999998</v>
      </c>
      <c r="I147" s="4">
        <f>G147/E147</f>
        <v>2.900241038799471</v>
      </c>
      <c r="J147" s="4">
        <f>F147*E147</f>
        <v>15.329797560000003</v>
      </c>
      <c r="K147" s="4">
        <f>H147*G147</f>
        <v>13.100953599999999</v>
      </c>
      <c r="L147" s="4">
        <f>J147-K147</f>
        <v>2.2288439600000043</v>
      </c>
      <c r="M147" s="4">
        <f>K147/J147</f>
        <v>0.85460708458305279</v>
      </c>
      <c r="N147" s="6">
        <v>52</v>
      </c>
    </row>
    <row r="148" spans="2:14" x14ac:dyDescent="0.25">
      <c r="B148" s="7">
        <f>1/3</f>
        <v>0.33333333333333331</v>
      </c>
      <c r="C148" s="4">
        <f>1/(1-2*B148)</f>
        <v>2.9999999999999996</v>
      </c>
      <c r="D148" s="4" t="str">
        <f>TEXT(ROUND(E148,3),"#")&amp;"_"&amp;TEXT(B148,"0,##")</f>
        <v>9_0,33</v>
      </c>
      <c r="E148" s="7">
        <v>9.0063999999999993</v>
      </c>
      <c r="F148" s="7">
        <v>3.2339000000000002</v>
      </c>
      <c r="G148" s="7">
        <v>25.513999999999999</v>
      </c>
      <c r="H148" s="7">
        <v>0.97948000000000002</v>
      </c>
      <c r="I148" s="4">
        <f>G148/E148</f>
        <v>2.8328744004263635</v>
      </c>
      <c r="J148" s="4">
        <f>F148*E148</f>
        <v>29.125796959999999</v>
      </c>
      <c r="K148" s="4">
        <f>H148*G148</f>
        <v>24.99045272</v>
      </c>
      <c r="L148" s="4">
        <f>J148-K148</f>
        <v>4.1353442399999985</v>
      </c>
      <c r="M148" s="4">
        <f>K148/J148</f>
        <v>0.85801781679384481</v>
      </c>
      <c r="N148" s="6">
        <v>26</v>
      </c>
    </row>
    <row r="149" spans="2:14" x14ac:dyDescent="0.25">
      <c r="B149" s="7">
        <f>1/3</f>
        <v>0.33333333333333331</v>
      </c>
      <c r="C149" s="4">
        <f>1/(1-2*B149)</f>
        <v>2.9999999999999996</v>
      </c>
      <c r="D149" s="4" t="str">
        <f>TEXT(ROUND(E149,3),"#")&amp;"_"&amp;TEXT(B149,"0,##")</f>
        <v>9_0,33</v>
      </c>
      <c r="E149" s="7">
        <v>9.0127000000000006</v>
      </c>
      <c r="F149" s="7">
        <v>6.1101999999999999</v>
      </c>
      <c r="G149" s="7">
        <v>24.52</v>
      </c>
      <c r="H149" s="7">
        <v>1.8805000000000001</v>
      </c>
      <c r="I149" s="4">
        <f>G149/E149</f>
        <v>2.7206053679807383</v>
      </c>
      <c r="J149" s="4">
        <f>F149*E149</f>
        <v>55.069399539999999</v>
      </c>
      <c r="K149" s="4">
        <f>H149*G149</f>
        <v>46.109859999999998</v>
      </c>
      <c r="L149" s="4">
        <f>J149-K149</f>
        <v>8.9595395400000015</v>
      </c>
      <c r="M149" s="4">
        <f>K149/J149</f>
        <v>0.83730457177961082</v>
      </c>
      <c r="N149" s="6">
        <v>13</v>
      </c>
    </row>
    <row r="150" spans="2:14" x14ac:dyDescent="0.25">
      <c r="B150" s="7"/>
      <c r="C150" s="4"/>
      <c r="D150" s="4"/>
      <c r="E150" s="7"/>
      <c r="F150" s="7"/>
      <c r="G150" s="7"/>
      <c r="H150" s="7"/>
      <c r="I150" s="4"/>
      <c r="J150" s="4"/>
      <c r="K150" s="4"/>
      <c r="L150" s="4"/>
      <c r="M150" s="4"/>
    </row>
    <row r="151" spans="2:14" x14ac:dyDescent="0.25">
      <c r="B151" s="7">
        <f>1/3</f>
        <v>0.33333333333333331</v>
      </c>
      <c r="C151" s="4">
        <f>1/(1-2*B151)</f>
        <v>2.9999999999999996</v>
      </c>
      <c r="D151" s="4" t="str">
        <f>TEXT(ROUND(E151,3),"#")&amp;"_"&amp;TEXT(B151,"0,##")</f>
        <v>12_0,33</v>
      </c>
      <c r="E151" s="7">
        <v>12.006</v>
      </c>
      <c r="F151" s="7">
        <v>1.7023200000000001</v>
      </c>
      <c r="G151" s="7">
        <v>35.826999999999998</v>
      </c>
      <c r="H151" s="7">
        <v>0.49064000000000002</v>
      </c>
      <c r="I151" s="4">
        <f>G151/E151</f>
        <v>2.9840912876894885</v>
      </c>
      <c r="J151" s="4">
        <f>F151*E151</f>
        <v>20.438053920000002</v>
      </c>
      <c r="K151" s="4">
        <f>H151*G151</f>
        <v>17.578159280000001</v>
      </c>
      <c r="L151" s="4">
        <f>J151-K151</f>
        <v>2.8598946400000003</v>
      </c>
      <c r="M151" s="4">
        <f>K151/J151</f>
        <v>0.86007010984537025</v>
      </c>
      <c r="N151" s="6">
        <v>73</v>
      </c>
    </row>
    <row r="152" spans="2:14" x14ac:dyDescent="0.25">
      <c r="B152" s="7">
        <f>1/3</f>
        <v>0.33333333333333331</v>
      </c>
      <c r="C152" s="4">
        <f>1/(1-2*B152)</f>
        <v>2.9999999999999996</v>
      </c>
      <c r="D152" s="4" t="str">
        <f>TEXT(ROUND(E152,3),"#")&amp;"_"&amp;TEXT(B152,"0,##")</f>
        <v>12_0,33</v>
      </c>
      <c r="E152" s="7">
        <v>12.022</v>
      </c>
      <c r="F152" s="7">
        <v>3.1131000000000002</v>
      </c>
      <c r="G152" s="7">
        <v>35.277000000000001</v>
      </c>
      <c r="H152" s="7">
        <v>0.92720000000000002</v>
      </c>
      <c r="I152" s="4">
        <f>G152/E152</f>
        <v>2.9343703210780236</v>
      </c>
      <c r="J152" s="4">
        <f>F152*E152</f>
        <v>37.425688200000003</v>
      </c>
      <c r="K152" s="4">
        <f>H152*G152</f>
        <v>32.708834400000001</v>
      </c>
      <c r="L152" s="4">
        <f>J152-K152</f>
        <v>4.7168538000000026</v>
      </c>
      <c r="M152" s="4">
        <f>K152/J152</f>
        <v>0.87396747990862589</v>
      </c>
      <c r="N152" s="6">
        <v>38</v>
      </c>
    </row>
    <row r="153" spans="2:14" x14ac:dyDescent="0.25">
      <c r="B153" s="7">
        <f>1/3</f>
        <v>0.33333333333333331</v>
      </c>
      <c r="C153" s="4">
        <f>1/(1-2*B153)</f>
        <v>2.9999999999999996</v>
      </c>
      <c r="D153" s="4" t="str">
        <f>TEXT(ROUND(E153,3),"#")&amp;"_"&amp;TEXT(B153,"0,##")</f>
        <v>12_0,33</v>
      </c>
      <c r="E153" s="7">
        <v>12.031000000000001</v>
      </c>
      <c r="F153" s="7">
        <v>6.0490000000000004</v>
      </c>
      <c r="G153" s="7">
        <v>34.182000000000002</v>
      </c>
      <c r="H153" s="7">
        <v>1.8446</v>
      </c>
      <c r="I153" s="4">
        <f>G153/E153</f>
        <v>2.8411603357991857</v>
      </c>
      <c r="J153" s="4">
        <f>F153*E153</f>
        <v>72.775519000000003</v>
      </c>
      <c r="K153" s="4">
        <f>H153*G153</f>
        <v>63.052117200000005</v>
      </c>
      <c r="L153" s="4">
        <f>J153-K153</f>
        <v>9.7234017999999978</v>
      </c>
      <c r="M153" s="4">
        <f>K153/J153</f>
        <v>0.86639185905359195</v>
      </c>
      <c r="N153" s="6">
        <v>18.5</v>
      </c>
    </row>
    <row r="155" spans="2:14" x14ac:dyDescent="0.25">
      <c r="B155" s="7">
        <f>1/3</f>
        <v>0.33333333333333331</v>
      </c>
      <c r="C155" s="4">
        <f>1/(1-2*B155)</f>
        <v>2.9999999999999996</v>
      </c>
      <c r="D155" s="4" t="str">
        <f>TEXT(ROUND(E155,3),"#")&amp;"_"&amp;TEXT(B155,"0,##")</f>
        <v>24_0,33</v>
      </c>
      <c r="E155" s="7">
        <v>24.023</v>
      </c>
      <c r="F155" s="7">
        <v>3.5354000000000001</v>
      </c>
      <c r="G155" s="7">
        <v>74.043999999999997</v>
      </c>
      <c r="H155" s="7">
        <v>1.0148699999999999</v>
      </c>
      <c r="I155" s="4">
        <f>G155/E155</f>
        <v>3.0822128793239809</v>
      </c>
      <c r="J155" s="4">
        <f>F155*E155</f>
        <v>84.930914200000004</v>
      </c>
      <c r="K155" s="4">
        <f>H155*G155</f>
        <v>75.14503427999999</v>
      </c>
      <c r="L155" s="4">
        <f>J155-K155</f>
        <v>9.7858799200000135</v>
      </c>
      <c r="M155" s="4">
        <f>K155/J155</f>
        <v>0.88477835176770048</v>
      </c>
      <c r="N155" s="6">
        <v>73</v>
      </c>
    </row>
    <row r="156" spans="2:14" x14ac:dyDescent="0.25">
      <c r="B156" s="7">
        <f>1/3</f>
        <v>0.33333333333333331</v>
      </c>
      <c r="C156" s="4">
        <f>1/(1-2*B156)</f>
        <v>2.9999999999999996</v>
      </c>
      <c r="D156" s="4" t="str">
        <f>TEXT(ROUND(E156,3),"#")&amp;"_"&amp;TEXT(B156,"0,##")</f>
        <v>24_0,33</v>
      </c>
      <c r="E156" s="7">
        <v>24.007000000000001</v>
      </c>
      <c r="F156" s="7">
        <v>6.0209999999999999</v>
      </c>
      <c r="G156" s="7">
        <v>72.84</v>
      </c>
      <c r="H156" s="7">
        <v>1.78</v>
      </c>
      <c r="I156" s="4">
        <f>G156/E156</f>
        <v>3.0341150497771481</v>
      </c>
      <c r="J156" s="4">
        <f>F156*E156</f>
        <v>144.54614700000002</v>
      </c>
      <c r="K156" s="4">
        <f>H156*G156</f>
        <v>129.65520000000001</v>
      </c>
      <c r="L156" s="4">
        <f>J156-K156</f>
        <v>14.890947000000011</v>
      </c>
      <c r="M156" s="4">
        <f>K156/J156</f>
        <v>0.89698136332890277</v>
      </c>
      <c r="N156" s="6">
        <v>41</v>
      </c>
    </row>
    <row r="157" spans="2:14" x14ac:dyDescent="0.25">
      <c r="B157" s="7"/>
      <c r="C157" s="4"/>
      <c r="D157" s="4"/>
      <c r="E157" s="7"/>
      <c r="F157" s="7"/>
      <c r="G157" s="7"/>
      <c r="H157" s="7"/>
      <c r="I157" s="4"/>
      <c r="J157" s="4"/>
      <c r="K157" s="4"/>
      <c r="L157" s="4"/>
      <c r="M157" s="4"/>
    </row>
    <row r="158" spans="2:14" x14ac:dyDescent="0.25">
      <c r="B158" s="7">
        <f>3/8</f>
        <v>0.375</v>
      </c>
      <c r="C158" s="4">
        <f>1/(1-2*B158)</f>
        <v>4</v>
      </c>
      <c r="D158" s="4" t="str">
        <f>TEXT(ROUND(E158,3),"#,#")&amp;"_"&amp;TEXT(B158,"0,###")</f>
        <v>3,3_0,375</v>
      </c>
      <c r="E158" s="7">
        <v>3.3039999999999998</v>
      </c>
      <c r="F158" s="7">
        <v>0.59041999999999994</v>
      </c>
      <c r="G158" s="7">
        <v>11.912000000000001</v>
      </c>
      <c r="H158" s="7">
        <v>0.11833</v>
      </c>
      <c r="I158" s="4">
        <f>G158/E158</f>
        <v>3.6053268765133177</v>
      </c>
      <c r="J158" s="4">
        <f>F158*E158</f>
        <v>1.9507476799999997</v>
      </c>
      <c r="K158" s="4">
        <f>H158*G158</f>
        <v>1.4095469600000001</v>
      </c>
      <c r="L158" s="4">
        <f>J158-K158</f>
        <v>0.54120071999999952</v>
      </c>
      <c r="M158" s="4">
        <f>K158/J158</f>
        <v>0.72256754394807243</v>
      </c>
      <c r="N158" s="6">
        <v>100</v>
      </c>
    </row>
    <row r="159" spans="2:14" x14ac:dyDescent="0.25">
      <c r="B159" s="7">
        <f>3/8</f>
        <v>0.375</v>
      </c>
      <c r="C159" s="4">
        <f>1/(1-2*B159)</f>
        <v>4</v>
      </c>
      <c r="D159" s="4" t="str">
        <f>TEXT(ROUND(E159,3),"#,#")&amp;"_"&amp;TEXT(B159,"0,###")</f>
        <v>3,3_0,375</v>
      </c>
      <c r="E159" s="7">
        <v>3.3031999999999999</v>
      </c>
      <c r="F159" s="7">
        <v>1.0482</v>
      </c>
      <c r="G159" s="7">
        <v>11.3597</v>
      </c>
      <c r="H159" s="7">
        <v>0.22613</v>
      </c>
      <c r="I159" s="4">
        <f>G159/E159</f>
        <v>3.4389985468636475</v>
      </c>
      <c r="J159" s="4">
        <f>F159*E159</f>
        <v>3.4624142400000002</v>
      </c>
      <c r="K159" s="4">
        <f>H159*G159</f>
        <v>2.568768961</v>
      </c>
      <c r="L159" s="4">
        <f>J159-K159</f>
        <v>0.89364527900000024</v>
      </c>
      <c r="M159" s="4">
        <f>K159/J159</f>
        <v>0.7419011079968294</v>
      </c>
      <c r="N159" s="6">
        <v>50</v>
      </c>
    </row>
    <row r="160" spans="2:14" x14ac:dyDescent="0.25">
      <c r="B160" s="7">
        <f>3/8</f>
        <v>0.375</v>
      </c>
      <c r="C160" s="4">
        <f>1/(1-2*B160)</f>
        <v>4</v>
      </c>
      <c r="D160" s="4" t="str">
        <f>TEXT(ROUND(E160,3),"#,#")&amp;"_"&amp;TEXT(B160,"0,###")</f>
        <v>3,3_0,375</v>
      </c>
      <c r="E160" s="7">
        <v>3.3041999999999998</v>
      </c>
      <c r="F160" s="7">
        <v>1.9114</v>
      </c>
      <c r="G160" s="7">
        <v>10.7559</v>
      </c>
      <c r="H160" s="7">
        <v>0.4284</v>
      </c>
      <c r="I160" s="4">
        <f>G160/E160</f>
        <v>3.2552206282912661</v>
      </c>
      <c r="J160" s="4">
        <f>F160*E160</f>
        <v>6.3156478799999993</v>
      </c>
      <c r="K160" s="4">
        <f>H160*G160</f>
        <v>4.6078275600000005</v>
      </c>
      <c r="L160" s="4">
        <f>J160-K160</f>
        <v>1.7078203199999988</v>
      </c>
      <c r="M160" s="4">
        <f>K160/J160</f>
        <v>0.72958905365699411</v>
      </c>
      <c r="N160" s="6">
        <v>25</v>
      </c>
    </row>
    <row r="161" spans="2:14" x14ac:dyDescent="0.25">
      <c r="B161" s="7">
        <f>3/8</f>
        <v>0.375</v>
      </c>
      <c r="C161" s="4">
        <f>1/(1-2*B161)</f>
        <v>4</v>
      </c>
      <c r="D161" s="4" t="str">
        <f>TEXT(ROUND(E161,3),"#,#")&amp;"_"&amp;TEXT(B161,"0,###")</f>
        <v>3,3_0,375</v>
      </c>
      <c r="E161" s="7">
        <v>3.3024</v>
      </c>
      <c r="F161" s="7">
        <v>3.4594999999999998</v>
      </c>
      <c r="G161" s="7">
        <v>9.9350000000000005</v>
      </c>
      <c r="H161" s="7">
        <v>0.79049999999999998</v>
      </c>
      <c r="I161" s="4">
        <f>G161/E161</f>
        <v>3.0084181201550391</v>
      </c>
      <c r="J161" s="4">
        <f>F161*E161</f>
        <v>11.424652799999999</v>
      </c>
      <c r="K161" s="4">
        <f>H161*G161</f>
        <v>7.8536175000000004</v>
      </c>
      <c r="L161" s="4">
        <f>J161-K161</f>
        <v>3.5710352999999984</v>
      </c>
      <c r="M161" s="4">
        <f>K161/J161</f>
        <v>0.68742723630078295</v>
      </c>
      <c r="N161" s="6">
        <v>12.5</v>
      </c>
    </row>
    <row r="162" spans="2:14" x14ac:dyDescent="0.25">
      <c r="B162" s="7">
        <f>3/8</f>
        <v>0.375</v>
      </c>
      <c r="C162" s="4">
        <f>1/(1-2*B162)</f>
        <v>4</v>
      </c>
      <c r="D162" s="4" t="str">
        <f>TEXT(ROUND(E162,3),"#,#")&amp;"_"&amp;TEXT(B162,"0,###")</f>
        <v>3,3_0,375</v>
      </c>
      <c r="E162" s="6">
        <v>3.3050999999999999</v>
      </c>
      <c r="F162" s="7">
        <v>6.1204000000000001</v>
      </c>
      <c r="G162" s="7">
        <v>8.9979999999999993</v>
      </c>
      <c r="H162" s="7">
        <v>1.4109</v>
      </c>
      <c r="I162" s="4">
        <f>G162/E162</f>
        <v>2.72245922967535</v>
      </c>
      <c r="J162" s="4">
        <f>F162*E162</f>
        <v>20.22853404</v>
      </c>
      <c r="K162" s="4">
        <f>H162*G162</f>
        <v>12.695278199999999</v>
      </c>
      <c r="L162" s="4">
        <f>J162-K162</f>
        <v>7.5332558400000007</v>
      </c>
      <c r="M162" s="4">
        <f>K162/J162</f>
        <v>0.62759259642326504</v>
      </c>
      <c r="N162" s="6">
        <v>6.3</v>
      </c>
    </row>
    <row r="164" spans="2:14" x14ac:dyDescent="0.25">
      <c r="B164" s="7">
        <f>3/8</f>
        <v>0.375</v>
      </c>
      <c r="C164" s="4">
        <f>1/(1-2*B164)</f>
        <v>4</v>
      </c>
      <c r="D164" s="4" t="str">
        <f>TEXT(ROUND(E164,3),"#")&amp;"_"&amp;TEXT(B164,"0,###")</f>
        <v>5_0,375</v>
      </c>
      <c r="E164" s="7">
        <v>5.0021000000000004</v>
      </c>
      <c r="F164" s="7">
        <v>0.93737000000000004</v>
      </c>
      <c r="G164" s="7">
        <v>19.001000000000001</v>
      </c>
      <c r="H164" s="7">
        <v>0.19017000000000001</v>
      </c>
      <c r="I164" s="4">
        <f>G164/E164</f>
        <v>3.7986045860738491</v>
      </c>
      <c r="J164" s="4">
        <f>F164*E164</f>
        <v>4.6888184770000008</v>
      </c>
      <c r="K164" s="4">
        <f>H164*G164</f>
        <v>3.6134201700000004</v>
      </c>
      <c r="L164" s="4">
        <f>J164-K164</f>
        <v>1.0753983070000004</v>
      </c>
      <c r="M164" s="4">
        <f>K164/J164</f>
        <v>0.77064620601647571</v>
      </c>
      <c r="N164" s="6">
        <v>100</v>
      </c>
    </row>
    <row r="165" spans="2:14" x14ac:dyDescent="0.25">
      <c r="B165" s="7">
        <f>3/8</f>
        <v>0.375</v>
      </c>
      <c r="C165" s="4">
        <f>1/(1-2*B165)</f>
        <v>4</v>
      </c>
      <c r="D165" s="4" t="str">
        <f>TEXT(ROUND(E165,3),"#")&amp;"_"&amp;TEXT(B165,"0,###")</f>
        <v>5_0,375</v>
      </c>
      <c r="E165" s="7">
        <v>5.0099</v>
      </c>
      <c r="F165" s="7">
        <v>1.6895</v>
      </c>
      <c r="G165" s="7">
        <v>18.298999999999999</v>
      </c>
      <c r="H165" s="7">
        <v>0.36537999999999998</v>
      </c>
      <c r="I165" s="4">
        <f>G165/E165</f>
        <v>3.6525679155272561</v>
      </c>
      <c r="J165" s="4">
        <f>F165*E165</f>
        <v>8.4642260500000006</v>
      </c>
      <c r="K165" s="4">
        <f>H165*G165</f>
        <v>6.6860886199999996</v>
      </c>
      <c r="L165" s="4">
        <f>J165-K165</f>
        <v>1.778137430000001</v>
      </c>
      <c r="M165" s="4">
        <f>K165/J165</f>
        <v>0.7899232109945834</v>
      </c>
      <c r="N165" s="6">
        <v>50</v>
      </c>
    </row>
    <row r="166" spans="2:14" x14ac:dyDescent="0.25">
      <c r="B166" s="7">
        <f>3/8</f>
        <v>0.375</v>
      </c>
      <c r="C166" s="4">
        <f>1/(1-2*B166)</f>
        <v>4</v>
      </c>
      <c r="D166" s="4" t="str">
        <f>TEXT(ROUND(E166,3),"#")&amp;"_"&amp;TEXT(B166,"0,###")</f>
        <v>5_0,375</v>
      </c>
      <c r="E166" s="7">
        <v>5.0095000000000001</v>
      </c>
      <c r="F166" s="7">
        <v>3.1198999999999999</v>
      </c>
      <c r="G166" s="7">
        <v>17.465</v>
      </c>
      <c r="H166" s="7">
        <v>0.69699999999999995</v>
      </c>
      <c r="I166" s="4">
        <f>G166/E166</f>
        <v>3.4863758858169476</v>
      </c>
      <c r="J166" s="4">
        <f>F166*E166</f>
        <v>15.629139049999999</v>
      </c>
      <c r="K166" s="4">
        <f>H166*G166</f>
        <v>12.173105</v>
      </c>
      <c r="L166" s="4">
        <f>J166-K166</f>
        <v>3.4560340499999995</v>
      </c>
      <c r="M166" s="4">
        <f>K166/J166</f>
        <v>0.77887239732504654</v>
      </c>
      <c r="N166" s="6">
        <v>25</v>
      </c>
    </row>
    <row r="167" spans="2:14" x14ac:dyDescent="0.25">
      <c r="B167" s="7">
        <f>3/8</f>
        <v>0.375</v>
      </c>
      <c r="C167" s="4">
        <f>1/(1-2*B167)</f>
        <v>4</v>
      </c>
      <c r="D167" s="4" t="str">
        <f>TEXT(ROUND(E167,3),"#")&amp;"_"&amp;TEXT(B167,"0,###")</f>
        <v>5_0,375</v>
      </c>
      <c r="E167" s="7">
        <v>5.008</v>
      </c>
      <c r="F167" s="7">
        <v>5.9988000000000001</v>
      </c>
      <c r="G167" s="7">
        <v>16.399999999999999</v>
      </c>
      <c r="H167" s="7">
        <v>1.3592</v>
      </c>
      <c r="I167" s="4">
        <f>G167/E167</f>
        <v>3.2747603833865813</v>
      </c>
      <c r="J167" s="4">
        <f>F167*E167</f>
        <v>30.0419904</v>
      </c>
      <c r="K167" s="4">
        <f>H167*G167</f>
        <v>22.290879999999998</v>
      </c>
      <c r="L167" s="4">
        <f>J167-K167</f>
        <v>7.7511104000000017</v>
      </c>
      <c r="M167" s="4">
        <f>K167/J167</f>
        <v>0.74199078367324156</v>
      </c>
      <c r="N167" s="6">
        <v>12</v>
      </c>
    </row>
    <row r="169" spans="2:14" x14ac:dyDescent="0.25">
      <c r="B169" s="7">
        <f>3/8</f>
        <v>0.375</v>
      </c>
      <c r="C169" s="4">
        <f>1/(1-2*B169)</f>
        <v>4</v>
      </c>
      <c r="D169" s="4" t="str">
        <f>TEXT(ROUND(E169,3),"#")&amp;"_"&amp;TEXT(B169,"0,###")</f>
        <v>9_0,375</v>
      </c>
      <c r="E169" s="7">
        <v>9.0090000000000003</v>
      </c>
      <c r="F169" s="7">
        <v>1.7644</v>
      </c>
      <c r="G169" s="7">
        <v>36.031999999999996</v>
      </c>
      <c r="H169" s="7">
        <v>0.35932999999999998</v>
      </c>
      <c r="I169" s="4">
        <f>G169/E169</f>
        <v>3.9995559995559988</v>
      </c>
      <c r="J169" s="4">
        <f>F169*E169</f>
        <v>15.8954796</v>
      </c>
      <c r="K169" s="4">
        <f>H169*G169</f>
        <v>12.947378559999999</v>
      </c>
      <c r="L169" s="4">
        <f>J169-K169</f>
        <v>2.9481010400000009</v>
      </c>
      <c r="M169" s="4">
        <f>K169/J169</f>
        <v>0.81453211138089843</v>
      </c>
      <c r="N169" s="6">
        <v>100</v>
      </c>
    </row>
    <row r="170" spans="2:14" x14ac:dyDescent="0.25">
      <c r="B170" s="7">
        <f>3/8</f>
        <v>0.375</v>
      </c>
      <c r="C170" s="4">
        <f>1/(1-2*B170)</f>
        <v>4</v>
      </c>
      <c r="D170" s="4" t="str">
        <f>TEXT(ROUND(E170,3),"#")&amp;"_"&amp;TEXT(B170,"0,###")</f>
        <v>9_0,375</v>
      </c>
      <c r="E170" s="7">
        <v>9.0007999999999999</v>
      </c>
      <c r="F170" s="7">
        <v>3.2235</v>
      </c>
      <c r="G170" s="7">
        <v>34.75</v>
      </c>
      <c r="H170" s="7">
        <v>0.69425999999999999</v>
      </c>
      <c r="I170" s="4">
        <f>G170/E170</f>
        <v>3.8607679317394008</v>
      </c>
      <c r="J170" s="4">
        <f>F170*E170</f>
        <v>29.0140788</v>
      </c>
      <c r="K170" s="4">
        <f>H170*G170</f>
        <v>24.125534999999999</v>
      </c>
      <c r="L170" s="4">
        <f>J170-K170</f>
        <v>4.8885438000000008</v>
      </c>
      <c r="M170" s="4">
        <f>K170/J170</f>
        <v>0.83151132132445993</v>
      </c>
      <c r="N170" s="6">
        <v>50</v>
      </c>
    </row>
    <row r="171" spans="2:14" x14ac:dyDescent="0.25">
      <c r="B171" s="7">
        <f>3/8</f>
        <v>0.375</v>
      </c>
      <c r="C171" s="4">
        <f>1/(1-2*B171)</f>
        <v>4</v>
      </c>
      <c r="D171" s="4" t="str">
        <f>TEXT(ROUND(E171,3),"#")&amp;"_"&amp;TEXT(B171,"0,###")</f>
        <v>9_0,375</v>
      </c>
      <c r="E171" s="6">
        <v>9.0055999999999994</v>
      </c>
      <c r="F171" s="7">
        <v>6.1113</v>
      </c>
      <c r="G171" s="7">
        <v>33.713000000000001</v>
      </c>
      <c r="H171" s="7">
        <v>1.3471</v>
      </c>
      <c r="I171" s="4">
        <f>G171/E171</f>
        <v>3.7435595629386165</v>
      </c>
      <c r="J171" s="4">
        <f>F171*E171</f>
        <v>55.035923279999999</v>
      </c>
      <c r="K171" s="4">
        <f>H171*G171</f>
        <v>45.414782299999999</v>
      </c>
      <c r="L171" s="4">
        <f>J171-K171</f>
        <v>9.6211409799999998</v>
      </c>
      <c r="M171" s="4">
        <f>K171/J171</f>
        <v>0.82518434494045612</v>
      </c>
      <c r="N171" s="6">
        <v>25</v>
      </c>
    </row>
    <row r="172" spans="2:14" x14ac:dyDescent="0.25">
      <c r="B172" s="7"/>
      <c r="C172" s="4"/>
      <c r="D172" s="4"/>
      <c r="E172" s="7"/>
      <c r="F172" s="7"/>
      <c r="G172" s="7"/>
      <c r="H172" s="7"/>
      <c r="I172" s="4"/>
      <c r="J172" s="4"/>
      <c r="K172" s="4"/>
      <c r="L172" s="4"/>
      <c r="M172" s="4"/>
    </row>
    <row r="173" spans="2:14" x14ac:dyDescent="0.25">
      <c r="B173" s="7">
        <f>3/8</f>
        <v>0.375</v>
      </c>
      <c r="C173" s="4">
        <f>1/(1-2*B173)</f>
        <v>4</v>
      </c>
      <c r="D173" s="4" t="str">
        <f>TEXT(ROUND(E173,3),"#")&amp;"_"&amp;TEXT(B173,"0,###")</f>
        <v>12_0,375</v>
      </c>
      <c r="E173" s="7">
        <v>12.025</v>
      </c>
      <c r="F173" s="7">
        <v>2.4060000000000001</v>
      </c>
      <c r="G173" s="7">
        <v>48.872</v>
      </c>
      <c r="H173" s="7">
        <v>0.49029</v>
      </c>
      <c r="I173" s="4">
        <f>G173/E173</f>
        <v>4.0641995841995842</v>
      </c>
      <c r="J173" s="4">
        <f>F173*E173</f>
        <v>28.932150000000004</v>
      </c>
      <c r="K173" s="4">
        <f>H173*G173</f>
        <v>23.96145288</v>
      </c>
      <c r="L173" s="4">
        <f>J173-K173</f>
        <v>4.9706971200000041</v>
      </c>
      <c r="M173" s="4">
        <f>K173/J173</f>
        <v>0.82819468584256606</v>
      </c>
      <c r="N173" s="6">
        <v>100</v>
      </c>
    </row>
    <row r="174" spans="2:14" x14ac:dyDescent="0.25">
      <c r="B174" s="7">
        <f>3/8</f>
        <v>0.375</v>
      </c>
      <c r="C174" s="4">
        <f>1/(1-2*B174)</f>
        <v>4</v>
      </c>
      <c r="D174" s="4" t="str">
        <f>TEXT(ROUND(E174,3),"#")&amp;"_"&amp;TEXT(B174,"0,###")</f>
        <v>12_0,375</v>
      </c>
      <c r="E174" s="7">
        <v>12.016999999999999</v>
      </c>
      <c r="F174" s="7">
        <v>3.0598999999999998</v>
      </c>
      <c r="G174" s="7">
        <v>48.113</v>
      </c>
      <c r="H174" s="7">
        <v>0.63936000000000004</v>
      </c>
      <c r="I174" s="4">
        <f>G174/E174</f>
        <v>4.0037446950153948</v>
      </c>
      <c r="J174" s="4">
        <f>F174*E174</f>
        <v>36.770818299999995</v>
      </c>
      <c r="K174" s="4">
        <f>H174*G174</f>
        <v>30.76152768</v>
      </c>
      <c r="L174" s="4">
        <f>J174-K174</f>
        <v>6.0092906199999945</v>
      </c>
      <c r="M174" s="4">
        <f>K174/J174</f>
        <v>0.83657446589922657</v>
      </c>
      <c r="N174" s="6">
        <v>75</v>
      </c>
    </row>
    <row r="175" spans="2:14" x14ac:dyDescent="0.25">
      <c r="B175" s="7">
        <f>3/8</f>
        <v>0.375</v>
      </c>
      <c r="C175" s="4">
        <f>1/(1-2*B175)</f>
        <v>4</v>
      </c>
      <c r="D175" s="4" t="str">
        <f>TEXT(ROUND(E175,3),"#")&amp;"_"&amp;TEXT(B175,"0,###")</f>
        <v>12_0,375</v>
      </c>
      <c r="E175" s="7">
        <v>12.0121</v>
      </c>
      <c r="F175" s="7">
        <v>4.4196999999999997</v>
      </c>
      <c r="G175" s="7">
        <v>47.359000000000002</v>
      </c>
      <c r="H175" s="7">
        <v>0.94730000000000003</v>
      </c>
      <c r="I175" s="4">
        <f>G175/E175</f>
        <v>3.9426078703973495</v>
      </c>
      <c r="J175" s="4">
        <f>F175*E175</f>
        <v>53.089878370000001</v>
      </c>
      <c r="K175" s="4">
        <f>H175*G175</f>
        <v>44.863180700000001</v>
      </c>
      <c r="L175" s="4">
        <f>J175-K175</f>
        <v>8.2266976700000001</v>
      </c>
      <c r="M175" s="4">
        <f>K175/J175</f>
        <v>0.8450420697394414</v>
      </c>
      <c r="N175" s="6">
        <v>50</v>
      </c>
    </row>
    <row r="176" spans="2:14" x14ac:dyDescent="0.25">
      <c r="B176" s="7">
        <f>3/8</f>
        <v>0.375</v>
      </c>
      <c r="C176" s="4">
        <f>1/(1-2*B176)</f>
        <v>4</v>
      </c>
      <c r="D176" s="4" t="str">
        <f>TEXT(ROUND(E176,3),"#")&amp;"_"&amp;TEXT(B176,"0,###")</f>
        <v>12_0,375</v>
      </c>
      <c r="E176" s="7">
        <v>12.067500000000001</v>
      </c>
      <c r="F176" s="7">
        <v>6.0437000000000003</v>
      </c>
      <c r="G176" s="7">
        <v>47.167000000000002</v>
      </c>
      <c r="H176" s="7">
        <v>1.3089999999999999</v>
      </c>
      <c r="I176" s="4">
        <f>G176/E176</f>
        <v>3.9085974725502379</v>
      </c>
      <c r="J176" s="4">
        <f>F176*E176</f>
        <v>72.932349750000014</v>
      </c>
      <c r="K176" s="4">
        <f>H176*G176</f>
        <v>61.741602999999998</v>
      </c>
      <c r="L176" s="4">
        <f>J176-K176</f>
        <v>11.190746750000017</v>
      </c>
      <c r="M176" s="4">
        <f>K176/J176</f>
        <v>0.84655990396086178</v>
      </c>
      <c r="N176" s="6">
        <v>36</v>
      </c>
    </row>
    <row r="178" spans="2:14" x14ac:dyDescent="0.25">
      <c r="B178" s="7">
        <f>3/8</f>
        <v>0.375</v>
      </c>
      <c r="C178" s="4">
        <f>1/(1-2*B178)</f>
        <v>4</v>
      </c>
      <c r="D178" s="4" t="str">
        <f>TEXT(ROUND(E178,3),"#")&amp;"_"&amp;TEXT(B178,"0,###")</f>
        <v>24_0,375</v>
      </c>
      <c r="E178" s="7">
        <v>24.013300000000001</v>
      </c>
      <c r="F178" s="7">
        <v>5.0119999999999996</v>
      </c>
      <c r="G178" s="8">
        <v>100.97</v>
      </c>
      <c r="H178" s="7">
        <v>1.0111000000000001</v>
      </c>
      <c r="I178" s="4">
        <f>G178/E178</f>
        <v>4.2047531992687386</v>
      </c>
      <c r="J178" s="4">
        <f>F178*E178</f>
        <v>120.35465959999999</v>
      </c>
      <c r="K178" s="4">
        <f>H178*G178</f>
        <v>102.09076700000001</v>
      </c>
      <c r="L178" s="4">
        <f>J178-K178</f>
        <v>18.263892599999977</v>
      </c>
      <c r="M178" s="4">
        <f>K178/J178</f>
        <v>0.84824939341193584</v>
      </c>
      <c r="N178" s="6">
        <v>100</v>
      </c>
    </row>
    <row r="179" spans="2:14" x14ac:dyDescent="0.25">
      <c r="B179" s="7">
        <f>3/8</f>
        <v>0.375</v>
      </c>
      <c r="C179" s="4">
        <f>1/(1-2*B179)</f>
        <v>4</v>
      </c>
      <c r="D179" s="4" t="str">
        <f>TEXT(ROUND(E179,3),"#")&amp;"_"&amp;TEXT(B179,"0,###")</f>
        <v>24_0,375</v>
      </c>
      <c r="E179" s="7">
        <v>24.044</v>
      </c>
      <c r="F179" s="7">
        <v>6.1258999999999997</v>
      </c>
      <c r="G179" s="8">
        <v>100.27</v>
      </c>
      <c r="H179" s="7">
        <v>1.2577</v>
      </c>
      <c r="I179" s="4">
        <f>G179/E179</f>
        <v>4.1702711695225414</v>
      </c>
      <c r="J179" s="4">
        <f>F179*E179</f>
        <v>147.29113960000001</v>
      </c>
      <c r="K179" s="4">
        <f>H179*G179</f>
        <v>126.109579</v>
      </c>
      <c r="L179" s="4">
        <f>J179-K179</f>
        <v>21.181560600000012</v>
      </c>
      <c r="M179" s="4">
        <f>K179/J179</f>
        <v>0.85619256760778018</v>
      </c>
      <c r="N179" s="6">
        <v>80</v>
      </c>
    </row>
    <row r="181" spans="2:14" x14ac:dyDescent="0.25">
      <c r="B181" s="7">
        <v>0.4</v>
      </c>
      <c r="C181" s="4">
        <f>1/(1-2*B181)</f>
        <v>5.0000000000000009</v>
      </c>
      <c r="D181" s="4" t="str">
        <f>TEXT(ROUND(E181,3),"#,#")&amp;"_"&amp;TEXT(B181,"0,###")</f>
        <v>3,3_0,4</v>
      </c>
      <c r="E181" s="7">
        <v>3.3039999999999998</v>
      </c>
      <c r="F181" s="7">
        <v>0.82472000000000001</v>
      </c>
      <c r="G181" s="7">
        <v>14.826000000000001</v>
      </c>
      <c r="H181" s="7">
        <v>0.12798000000000001</v>
      </c>
      <c r="I181" s="4">
        <f>G181/E181</f>
        <v>4.4872881355932206</v>
      </c>
      <c r="J181" s="4">
        <f>F181*E181</f>
        <v>2.7248748799999998</v>
      </c>
      <c r="K181" s="4">
        <f>H181*G181</f>
        <v>1.8974314800000003</v>
      </c>
      <c r="L181" s="4">
        <f>J181-K181</f>
        <v>0.8274433999999995</v>
      </c>
      <c r="M181" s="4">
        <f>K181/J181</f>
        <v>0.696337103008561</v>
      </c>
      <c r="N181" s="6">
        <v>115</v>
      </c>
    </row>
    <row r="182" spans="2:14" x14ac:dyDescent="0.25">
      <c r="B182" s="7">
        <v>0.4</v>
      </c>
      <c r="C182" s="4">
        <f>1/(1-2*B182)</f>
        <v>5.0000000000000009</v>
      </c>
      <c r="D182" s="4" t="str">
        <f>TEXT(ROUND(E182,3),"#,#")&amp;"_"&amp;TEXT(B182,"0,###")</f>
        <v>3,3_0,4</v>
      </c>
      <c r="E182" s="7">
        <v>3.3037000000000001</v>
      </c>
      <c r="F182" s="7">
        <v>1.6418999999999999</v>
      </c>
      <c r="G182" s="7">
        <v>13.965999999999999</v>
      </c>
      <c r="H182" s="7">
        <v>0.27832000000000001</v>
      </c>
      <c r="I182" s="4">
        <f>G182/E182</f>
        <v>4.2273814208311888</v>
      </c>
      <c r="J182" s="4">
        <f>F182*E182</f>
        <v>5.4243450299999996</v>
      </c>
      <c r="K182" s="4">
        <f>H182*G182</f>
        <v>3.8870171199999999</v>
      </c>
      <c r="L182" s="4">
        <f>J182-K182</f>
        <v>1.5373279099999997</v>
      </c>
      <c r="M182" s="4">
        <f>K182/J182</f>
        <v>0.71658736649353594</v>
      </c>
      <c r="N182" s="6">
        <v>50</v>
      </c>
    </row>
    <row r="183" spans="2:14" x14ac:dyDescent="0.25">
      <c r="B183" s="7">
        <v>0.4</v>
      </c>
      <c r="C183" s="4">
        <f>1/(1-2*B183)</f>
        <v>5.0000000000000009</v>
      </c>
      <c r="D183" s="4" t="str">
        <f>TEXT(ROUND(E183,3),"#,#")&amp;"_"&amp;TEXT(B183,"0,###")</f>
        <v>3,3_0,4</v>
      </c>
      <c r="E183" s="7">
        <v>3.3016999999999999</v>
      </c>
      <c r="F183" s="7">
        <v>2.9459</v>
      </c>
      <c r="G183" s="7">
        <v>12.994999999999999</v>
      </c>
      <c r="H183" s="7">
        <v>0.51798</v>
      </c>
      <c r="I183" s="4">
        <f>G183/E183</f>
        <v>3.9358512281551925</v>
      </c>
      <c r="J183" s="4">
        <f>F183*E183</f>
        <v>9.7264780299999991</v>
      </c>
      <c r="K183" s="4">
        <f>H183*G183</f>
        <v>6.7311500999999998</v>
      </c>
      <c r="L183" s="4">
        <f>J183-K183</f>
        <v>2.9953279299999993</v>
      </c>
      <c r="M183" s="4">
        <f>K183/J183</f>
        <v>0.692043931959614</v>
      </c>
      <c r="N183" s="6">
        <v>25</v>
      </c>
    </row>
    <row r="184" spans="2:14" x14ac:dyDescent="0.25">
      <c r="B184" s="7">
        <v>0.4</v>
      </c>
      <c r="C184" s="4">
        <f>1/(1-2*B184)</f>
        <v>5.0000000000000009</v>
      </c>
      <c r="D184" s="4" t="str">
        <f>TEXT(ROUND(E184,3),"#,#")&amp;"_"&amp;TEXT(B184,"0,###")</f>
        <v>3,3_0,4</v>
      </c>
      <c r="E184" s="7">
        <v>3.3</v>
      </c>
      <c r="F184" s="7">
        <v>5.2068000000000003</v>
      </c>
      <c r="G184" s="7">
        <v>11.7441</v>
      </c>
      <c r="H184" s="7">
        <v>0.93123</v>
      </c>
      <c r="I184" s="4">
        <f>G184/E184</f>
        <v>3.5588181818181819</v>
      </c>
      <c r="J184" s="4">
        <f>F184*E184</f>
        <v>17.18244</v>
      </c>
      <c r="K184" s="4">
        <f>H184*G184</f>
        <v>10.936458242999999</v>
      </c>
      <c r="L184" s="4">
        <f>J184-K184</f>
        <v>6.2459817570000009</v>
      </c>
      <c r="M184" s="4">
        <f>K184/J184</f>
        <v>0.63649040782333588</v>
      </c>
      <c r="N184" s="6">
        <v>12.5</v>
      </c>
    </row>
    <row r="185" spans="2:14" x14ac:dyDescent="0.25">
      <c r="B185" s="7">
        <v>0.4</v>
      </c>
      <c r="C185" s="4">
        <f>1/(1-2*B185)</f>
        <v>5.0000000000000009</v>
      </c>
      <c r="D185" s="4" t="str">
        <f>TEXT(ROUND(E185,3),"#,#")&amp;"_"&amp;TEXT(B185,"0,###")</f>
        <v>3,3_0,4</v>
      </c>
      <c r="E185" s="6">
        <v>3.3054999999999999</v>
      </c>
      <c r="F185" s="7">
        <v>6.0056000000000003</v>
      </c>
      <c r="G185" s="7">
        <v>11.44</v>
      </c>
      <c r="H185" s="7">
        <v>1.077</v>
      </c>
      <c r="I185" s="4">
        <f>G185/E185</f>
        <v>3.4608985024958403</v>
      </c>
      <c r="J185" s="4">
        <f>F185*E185</f>
        <v>19.8515108</v>
      </c>
      <c r="K185" s="4">
        <f>H185*G185</f>
        <v>12.320879999999999</v>
      </c>
      <c r="L185" s="4">
        <f>J185-K185</f>
        <v>7.5306308000000008</v>
      </c>
      <c r="M185" s="4">
        <f>K185/J185</f>
        <v>0.62065200599241033</v>
      </c>
      <c r="N185" s="6">
        <v>10.5</v>
      </c>
    </row>
    <row r="187" spans="2:14" x14ac:dyDescent="0.25">
      <c r="B187" s="7">
        <v>0.4</v>
      </c>
      <c r="C187" s="4">
        <f>1/(1-2*B187)</f>
        <v>5.0000000000000009</v>
      </c>
      <c r="D187" s="4" t="str">
        <f>TEXT(ROUND(E187,3),"#")&amp;"_"&amp;TEXT(B187,"0,###")</f>
        <v>5_0,4</v>
      </c>
      <c r="E187" s="7">
        <v>5.0419999999999998</v>
      </c>
      <c r="F187" s="7">
        <v>1.3436999999999999</v>
      </c>
      <c r="G187" s="7">
        <v>24.146000000000001</v>
      </c>
      <c r="H187" s="7">
        <v>0.20987</v>
      </c>
      <c r="I187" s="4">
        <f>G187/E187</f>
        <v>4.7889726299087663</v>
      </c>
      <c r="J187" s="4">
        <f>F187*E187</f>
        <v>6.7749353999999995</v>
      </c>
      <c r="K187" s="4">
        <f>H187*G187</f>
        <v>5.06752102</v>
      </c>
      <c r="L187" s="4">
        <f>J187-K187</f>
        <v>1.7074143799999995</v>
      </c>
      <c r="M187" s="4">
        <f>K187/J187</f>
        <v>0.74798071432533519</v>
      </c>
      <c r="N187" s="6">
        <v>115</v>
      </c>
    </row>
    <row r="188" spans="2:14" x14ac:dyDescent="0.25">
      <c r="B188" s="7">
        <v>0.4</v>
      </c>
      <c r="C188" s="4">
        <f>1/(1-2*B188)</f>
        <v>5.0000000000000009</v>
      </c>
      <c r="D188" s="4" t="str">
        <f>TEXT(ROUND(E188,3),"#")&amp;"_"&amp;TEXT(B188,"0,###")</f>
        <v>5_0,4</v>
      </c>
      <c r="E188" s="7">
        <v>5.0423</v>
      </c>
      <c r="F188" s="7">
        <v>1.8281000000000001</v>
      </c>
      <c r="G188" s="7">
        <v>23.777000000000001</v>
      </c>
      <c r="H188" s="7">
        <v>0.29630000000000001</v>
      </c>
      <c r="I188" s="4">
        <f>G188/E188</f>
        <v>4.715506812367372</v>
      </c>
      <c r="J188" s="4">
        <f>F188*E188</f>
        <v>9.2178286299999996</v>
      </c>
      <c r="K188" s="4">
        <f>H188*G188</f>
        <v>7.0451251000000008</v>
      </c>
      <c r="L188" s="4">
        <f>J188-K188</f>
        <v>2.1727035299999988</v>
      </c>
      <c r="M188" s="4">
        <f>K188/J188</f>
        <v>0.76429334746701638</v>
      </c>
      <c r="N188" s="6">
        <v>80</v>
      </c>
    </row>
    <row r="189" spans="2:14" x14ac:dyDescent="0.25">
      <c r="B189" s="7">
        <v>0.4</v>
      </c>
      <c r="C189" s="4">
        <f>1/(1-2*B189)</f>
        <v>5.0000000000000009</v>
      </c>
      <c r="D189" s="4" t="str">
        <f>TEXT(ROUND(E189,3),"#")&amp;"_"&amp;TEXT(B189,"0,###")</f>
        <v>5_0,4</v>
      </c>
      <c r="E189" s="7">
        <v>5.0442</v>
      </c>
      <c r="F189" s="7">
        <v>3.3149999999999999</v>
      </c>
      <c r="G189" s="7">
        <v>22.646999999999998</v>
      </c>
      <c r="H189" s="7">
        <v>0.5645</v>
      </c>
      <c r="I189" s="4">
        <f>G189/E189</f>
        <v>4.4897109551564167</v>
      </c>
      <c r="J189" s="4">
        <f>F189*E189</f>
        <v>16.721523000000001</v>
      </c>
      <c r="K189" s="4">
        <f>H189*G189</f>
        <v>12.784231499999999</v>
      </c>
      <c r="L189" s="4">
        <f>J189-K189</f>
        <v>3.9372915000000024</v>
      </c>
      <c r="M189" s="4">
        <f>K189/J189</f>
        <v>0.76453750654171859</v>
      </c>
      <c r="N189" s="6">
        <v>40</v>
      </c>
    </row>
    <row r="190" spans="2:14" x14ac:dyDescent="0.25">
      <c r="B190" s="7">
        <v>0.4</v>
      </c>
      <c r="C190" s="4">
        <f>1/(1-2*B190)</f>
        <v>5.0000000000000009</v>
      </c>
      <c r="D190" s="4" t="str">
        <f>TEXT(ROUND(E190,3),"#")&amp;"_"&amp;TEXT(B190,"0,###")</f>
        <v>5_0,4</v>
      </c>
      <c r="E190" s="7">
        <v>5.05</v>
      </c>
      <c r="F190" s="7">
        <v>5.9850000000000003</v>
      </c>
      <c r="G190" s="7">
        <v>21.09</v>
      </c>
      <c r="H190" s="7">
        <v>1.048</v>
      </c>
      <c r="I190" s="4">
        <f>G190/E190</f>
        <v>4.1762376237623764</v>
      </c>
      <c r="J190" s="4">
        <f>F190*E190</f>
        <v>30.224250000000001</v>
      </c>
      <c r="K190" s="4">
        <f>H190*G190</f>
        <v>22.102320000000002</v>
      </c>
      <c r="L190" s="4">
        <f>J190-K190</f>
        <v>8.121929999999999</v>
      </c>
      <c r="M190" s="4">
        <f>K190/J190</f>
        <v>0.73127769919849128</v>
      </c>
      <c r="N190" s="6">
        <v>20</v>
      </c>
    </row>
    <row r="192" spans="2:14" x14ac:dyDescent="0.25">
      <c r="B192" s="7">
        <v>0.4</v>
      </c>
      <c r="C192" s="4">
        <f>1/(1-2*B192)</f>
        <v>5.0000000000000009</v>
      </c>
      <c r="D192" s="4" t="str">
        <f>TEXT(ROUND(E192,3),"#")&amp;"_"&amp;TEXT(B192,"0,###")</f>
        <v>9_0,4</v>
      </c>
      <c r="E192" s="7">
        <v>9.0142000000000007</v>
      </c>
      <c r="F192" s="7">
        <v>2.4277000000000002</v>
      </c>
      <c r="G192" s="7">
        <v>45.478999999999999</v>
      </c>
      <c r="H192" s="7">
        <v>0.37673000000000001</v>
      </c>
      <c r="I192" s="4">
        <f>G192/E192</f>
        <v>5.0452619200816482</v>
      </c>
      <c r="J192" s="4">
        <f>F192*E192</f>
        <v>21.883773340000005</v>
      </c>
      <c r="K192" s="4">
        <f>H192*G192</f>
        <v>17.13330367</v>
      </c>
      <c r="L192" s="4">
        <f>J192-K192</f>
        <v>4.7504696700000046</v>
      </c>
      <c r="M192" s="4">
        <f>K192/J192</f>
        <v>0.78292273474991114</v>
      </c>
      <c r="N192" s="6">
        <v>120</v>
      </c>
    </row>
    <row r="193" spans="2:14" x14ac:dyDescent="0.25">
      <c r="B193" s="7">
        <v>0.4</v>
      </c>
      <c r="C193" s="4">
        <f>1/(1-2*B193)</f>
        <v>5.0000000000000009</v>
      </c>
      <c r="D193" s="4" t="str">
        <f>TEXT(ROUND(E193,3),"#")&amp;"_"&amp;TEXT(B193,"0,###")</f>
        <v>9_0,4</v>
      </c>
      <c r="E193" s="7">
        <v>9.0124999999999993</v>
      </c>
      <c r="F193" s="7">
        <v>3.1131000000000002</v>
      </c>
      <c r="G193" s="7">
        <v>44.985999999999997</v>
      </c>
      <c r="H193" s="7">
        <v>0.49976999999999999</v>
      </c>
      <c r="I193" s="4">
        <f>G193/E193</f>
        <v>4.9915117891816925</v>
      </c>
      <c r="J193" s="4">
        <f>F193*E193</f>
        <v>28.05681375</v>
      </c>
      <c r="K193" s="4">
        <f>H193*G193</f>
        <v>22.48265322</v>
      </c>
      <c r="L193" s="4">
        <f>J193-K193</f>
        <v>5.5741605300000003</v>
      </c>
      <c r="M193" s="4">
        <f>K193/J193</f>
        <v>0.80132596025804959</v>
      </c>
      <c r="N193" s="6">
        <v>90</v>
      </c>
    </row>
    <row r="194" spans="2:14" x14ac:dyDescent="0.25">
      <c r="B194" s="7">
        <v>0.4</v>
      </c>
      <c r="C194" s="4">
        <f>1/(1-2*B194)</f>
        <v>5.0000000000000009</v>
      </c>
      <c r="D194" s="4" t="str">
        <f>TEXT(ROUND(E194,3),"#")&amp;"_"&amp;TEXT(B194,"0,###")</f>
        <v>9_0,4</v>
      </c>
      <c r="E194" s="7">
        <v>9.0088000000000008</v>
      </c>
      <c r="F194" s="7">
        <v>3.9072</v>
      </c>
      <c r="G194" s="7">
        <v>44.62</v>
      </c>
      <c r="H194" s="7">
        <v>0.63539000000000001</v>
      </c>
      <c r="I194" s="4">
        <f>G194/E194</f>
        <v>4.9529349080898672</v>
      </c>
      <c r="J194" s="4">
        <f>F194*E194</f>
        <v>35.199183360000006</v>
      </c>
      <c r="K194" s="4">
        <f>H194*G194</f>
        <v>28.351101799999999</v>
      </c>
      <c r="L194" s="4">
        <f>J194-K194</f>
        <v>6.8480815600000078</v>
      </c>
      <c r="M194" s="4">
        <f>K194/J194</f>
        <v>0.80544771479607402</v>
      </c>
      <c r="N194" s="6">
        <v>70</v>
      </c>
    </row>
    <row r="195" spans="2:14" x14ac:dyDescent="0.25">
      <c r="B195" s="7">
        <v>0.4</v>
      </c>
      <c r="C195" s="4">
        <f>1/(1-2*B195)</f>
        <v>5.0000000000000009</v>
      </c>
      <c r="D195" s="4" t="str">
        <f>TEXT(ROUND(E195,3),"#")&amp;"_"&amp;TEXT(B195,"0,###")</f>
        <v>9_0,4</v>
      </c>
      <c r="E195" s="6">
        <v>9.0010999999999992</v>
      </c>
      <c r="F195" s="7">
        <v>5.25</v>
      </c>
      <c r="G195" s="7">
        <v>43.670999999999999</v>
      </c>
      <c r="H195" s="7">
        <v>0.87346000000000001</v>
      </c>
      <c r="I195" s="4">
        <f>G195/E195</f>
        <v>4.8517403428469859</v>
      </c>
      <c r="J195" s="4">
        <f>F195*E195</f>
        <v>47.255774999999993</v>
      </c>
      <c r="K195" s="4">
        <f>H195*G195</f>
        <v>38.14487166</v>
      </c>
      <c r="L195" s="4">
        <f>J195-K195</f>
        <v>9.110903339999993</v>
      </c>
      <c r="M195" s="4">
        <f>K195/J195</f>
        <v>0.80720021330726255</v>
      </c>
      <c r="N195" s="6">
        <v>50</v>
      </c>
    </row>
    <row r="196" spans="2:14" x14ac:dyDescent="0.25">
      <c r="B196" s="7"/>
    </row>
    <row r="197" spans="2:14" x14ac:dyDescent="0.25">
      <c r="B197" s="7">
        <v>0.4</v>
      </c>
      <c r="C197" s="4">
        <f>1/(1-2*B197)</f>
        <v>5.0000000000000009</v>
      </c>
      <c r="D197" s="4" t="str">
        <f>TEXT(ROUND(E197,3),"#")&amp;"_"&amp;TEXT(B197,"0,##")</f>
        <v>12_0,4</v>
      </c>
      <c r="E197" s="7">
        <v>12.0067</v>
      </c>
      <c r="F197" s="7">
        <v>3.3105000000000002</v>
      </c>
      <c r="G197" s="7">
        <v>61.78</v>
      </c>
      <c r="H197" s="7">
        <v>0.51283999999999996</v>
      </c>
      <c r="I197" s="4">
        <f>G197/E197</f>
        <v>5.1454604512480531</v>
      </c>
      <c r="J197" s="4">
        <f>F197*E197</f>
        <v>39.748180350000005</v>
      </c>
      <c r="K197" s="4">
        <f>H197*G197</f>
        <v>31.683255199999998</v>
      </c>
      <c r="L197" s="4">
        <f>J197-K197</f>
        <v>8.0649251500000076</v>
      </c>
      <c r="M197" s="4">
        <f>K197/J197</f>
        <v>0.79709951300953064</v>
      </c>
      <c r="N197" s="6">
        <v>120</v>
      </c>
    </row>
    <row r="198" spans="2:14" x14ac:dyDescent="0.25">
      <c r="B198" s="7">
        <v>0.4</v>
      </c>
      <c r="C198" s="4">
        <f>1/(1-2*B198)</f>
        <v>5.0000000000000009</v>
      </c>
      <c r="D198" s="4" t="str">
        <f>TEXT(ROUND(E198,3),"#")&amp;"_"&amp;TEXT(B198,"0,##")</f>
        <v>12_0,4</v>
      </c>
      <c r="E198" s="7">
        <v>12.0045</v>
      </c>
      <c r="F198" s="7">
        <v>4.2720000000000002</v>
      </c>
      <c r="G198" s="7">
        <v>61.265000000000001</v>
      </c>
      <c r="H198" s="7">
        <v>0.67900000000000005</v>
      </c>
      <c r="I198" s="4">
        <f>G198/E198</f>
        <v>5.1035028530967557</v>
      </c>
      <c r="J198" s="4">
        <f>F198*E198</f>
        <v>51.283224000000004</v>
      </c>
      <c r="K198" s="4">
        <f>H198*G198</f>
        <v>41.598935000000004</v>
      </c>
      <c r="L198" s="4">
        <f>J198-K198</f>
        <v>9.6842889999999997</v>
      </c>
      <c r="M198" s="4">
        <f>K198/J198</f>
        <v>0.81116068287750398</v>
      </c>
      <c r="N198" s="6">
        <v>90</v>
      </c>
    </row>
    <row r="199" spans="2:14" x14ac:dyDescent="0.25">
      <c r="B199" s="7">
        <v>0.4</v>
      </c>
      <c r="C199" s="4">
        <f>1/(1-2*B199)</f>
        <v>5.0000000000000009</v>
      </c>
      <c r="D199" s="4" t="str">
        <f>TEXT(ROUND(E199,3),"#")&amp;"_"&amp;TEXT(B199,"0,##")</f>
        <v>12_0,4</v>
      </c>
      <c r="E199" s="7">
        <v>12</v>
      </c>
      <c r="F199" s="7">
        <v>5.3399000000000001</v>
      </c>
      <c r="G199" s="7">
        <v>60.62</v>
      </c>
      <c r="H199" s="7">
        <v>0.86529</v>
      </c>
      <c r="I199" s="4">
        <f>G199/E199</f>
        <v>5.0516666666666667</v>
      </c>
      <c r="J199" s="4">
        <f>F199*E199</f>
        <v>64.078800000000001</v>
      </c>
      <c r="K199" s="4">
        <f>H199*G199</f>
        <v>52.453879799999996</v>
      </c>
      <c r="L199" s="4">
        <f>J199-K199</f>
        <v>11.624920200000005</v>
      </c>
      <c r="M199" s="4">
        <f>K199/J199</f>
        <v>0.81858399033689766</v>
      </c>
      <c r="N199" s="6">
        <v>70</v>
      </c>
    </row>
    <row r="200" spans="2:14" x14ac:dyDescent="0.25">
      <c r="B200" s="7">
        <v>0.4</v>
      </c>
      <c r="C200" s="4">
        <f>1/(1-2*B200)</f>
        <v>5.0000000000000009</v>
      </c>
      <c r="D200" s="4" t="str">
        <f>TEXT(ROUND(E200,3),"#")&amp;"_"&amp;TEXT(B200,"0,##")</f>
        <v>12_0,4</v>
      </c>
      <c r="E200" s="7">
        <v>12.0075</v>
      </c>
      <c r="F200" s="7">
        <v>6.1574999999999998</v>
      </c>
      <c r="G200" s="7">
        <v>60.32</v>
      </c>
      <c r="H200" s="7">
        <v>1.00624</v>
      </c>
      <c r="I200" s="4">
        <f>G200/E200</f>
        <v>5.0235269623152199</v>
      </c>
      <c r="J200" s="4">
        <f>F200*E200</f>
        <v>73.936181250000004</v>
      </c>
      <c r="K200" s="4">
        <f>H200*G200</f>
        <v>60.696396800000002</v>
      </c>
      <c r="L200" s="4">
        <f>J200-K200</f>
        <v>13.239784450000002</v>
      </c>
      <c r="M200" s="4">
        <f>K200/J200</f>
        <v>0.82092956078929213</v>
      </c>
      <c r="N200" s="6">
        <v>60</v>
      </c>
    </row>
    <row r="202" spans="2:14" x14ac:dyDescent="0.25">
      <c r="B202" s="7">
        <f>3/7</f>
        <v>0.42857142857142855</v>
      </c>
      <c r="C202" s="4">
        <f>1/(1-2*B202)</f>
        <v>6.9999999999999973</v>
      </c>
      <c r="D202" s="4" t="str">
        <f>TEXT(ROUND(E202,3),"#,#")&amp;"_"&amp;TEXT(B202,"0,###")</f>
        <v>3,3_0,429</v>
      </c>
      <c r="E202" s="7">
        <v>3.3047</v>
      </c>
      <c r="F202" s="7">
        <v>1.2143999999999999</v>
      </c>
      <c r="G202" s="7">
        <v>21.555900000000001</v>
      </c>
      <c r="H202" s="7">
        <v>0.11917999999999999</v>
      </c>
      <c r="I202" s="4">
        <f>G202/E202</f>
        <v>6.5228008593820928</v>
      </c>
      <c r="J202" s="4">
        <f>F202*E202</f>
        <v>4.01322768</v>
      </c>
      <c r="K202" s="4">
        <f>H202*G202</f>
        <v>2.5690321620000001</v>
      </c>
      <c r="L202" s="4">
        <f>J202-K202</f>
        <v>1.4441955179999999</v>
      </c>
      <c r="M202" s="4">
        <f>K202/J202</f>
        <v>0.64014114494495866</v>
      </c>
      <c r="N202" s="6">
        <v>180</v>
      </c>
    </row>
    <row r="203" spans="2:14" x14ac:dyDescent="0.25">
      <c r="B203" s="7">
        <f>3/7</f>
        <v>0.42857142857142855</v>
      </c>
      <c r="C203" s="4">
        <f>1/(1-2*B203)</f>
        <v>6.9999999999999973</v>
      </c>
      <c r="D203" s="4" t="str">
        <f>TEXT(ROUND(E203,3),"#,#")&amp;"_"&amp;TEXT(B203,"0,###")</f>
        <v>3,3_0,429</v>
      </c>
      <c r="E203" s="7">
        <v>3.3065000000000002</v>
      </c>
      <c r="F203" s="7">
        <v>2.1103000000000001</v>
      </c>
      <c r="G203" s="7">
        <v>20.645</v>
      </c>
      <c r="H203" s="7">
        <v>0.22894</v>
      </c>
      <c r="I203" s="4">
        <f>G203/E203</f>
        <v>6.2437622864055644</v>
      </c>
      <c r="J203" s="4">
        <f>F203*E203</f>
        <v>6.9777069500000009</v>
      </c>
      <c r="K203" s="4">
        <f>H203*G203</f>
        <v>4.7264663000000002</v>
      </c>
      <c r="L203" s="4">
        <f>J203-K203</f>
        <v>2.2512406500000006</v>
      </c>
      <c r="M203" s="4">
        <f>K203/J203</f>
        <v>0.67736669565923802</v>
      </c>
      <c r="N203" s="6">
        <v>90</v>
      </c>
    </row>
    <row r="204" spans="2:14" x14ac:dyDescent="0.25">
      <c r="B204" s="7">
        <f>3/7</f>
        <v>0.42857142857142855</v>
      </c>
      <c r="C204" s="4">
        <f>1/(1-2*B204)</f>
        <v>6.9999999999999973</v>
      </c>
      <c r="D204" s="4" t="str">
        <f>TEXT(ROUND(E204,3),"#,#")&amp;"_"&amp;TEXT(B204,"0,###")</f>
        <v>3,3_0,429</v>
      </c>
      <c r="E204" s="7">
        <v>3.3003</v>
      </c>
      <c r="F204" s="7">
        <v>3.6429</v>
      </c>
      <c r="G204" s="7">
        <v>18.899100000000001</v>
      </c>
      <c r="H204" s="7">
        <v>0.41953000000000001</v>
      </c>
      <c r="I204" s="4">
        <f>G204/E204</f>
        <v>5.7264794109626402</v>
      </c>
      <c r="J204" s="4">
        <f>F204*E204</f>
        <v>12.02266287</v>
      </c>
      <c r="K204" s="4">
        <f>H204*G204</f>
        <v>7.9287394230000006</v>
      </c>
      <c r="L204" s="4">
        <f>J204-K204</f>
        <v>4.093923446999999</v>
      </c>
      <c r="M204" s="4">
        <f>K204/J204</f>
        <v>0.65948280416183713</v>
      </c>
      <c r="N204" s="6">
        <v>45</v>
      </c>
    </row>
    <row r="205" spans="2:14" x14ac:dyDescent="0.25">
      <c r="B205" s="7">
        <f>3/7</f>
        <v>0.42857142857142855</v>
      </c>
      <c r="C205" s="4">
        <f>1/(1-2*B205)</f>
        <v>6.9999999999999973</v>
      </c>
      <c r="D205" s="4" t="str">
        <f>TEXT(ROUND(E205,3),"#,#")&amp;"_"&amp;TEXT(B205,"0,###")</f>
        <v>3,3_0,429</v>
      </c>
      <c r="E205" s="7">
        <v>3.3050000000000002</v>
      </c>
      <c r="F205" s="7">
        <v>5.9189999999999996</v>
      </c>
      <c r="G205" s="7">
        <v>17.510999999999999</v>
      </c>
      <c r="H205" s="7">
        <v>0.6966</v>
      </c>
      <c r="I205" s="4">
        <f>G205/E205</f>
        <v>5.2983358547655062</v>
      </c>
      <c r="J205" s="4">
        <f>F205*E205</f>
        <v>19.562294999999999</v>
      </c>
      <c r="K205" s="4">
        <f>H205*G205</f>
        <v>12.1981626</v>
      </c>
      <c r="L205" s="4">
        <f>J205-K205</f>
        <v>7.364132399999999</v>
      </c>
      <c r="M205" s="4">
        <f>K205/J205</f>
        <v>0.62355478229931616</v>
      </c>
      <c r="N205" s="6">
        <v>25</v>
      </c>
    </row>
    <row r="206" spans="2:14" x14ac:dyDescent="0.25">
      <c r="B206" s="7"/>
      <c r="C206" s="4"/>
      <c r="D206" s="4"/>
      <c r="F206" s="7"/>
      <c r="G206" s="7"/>
      <c r="H206" s="7"/>
      <c r="I206" s="4"/>
      <c r="J206" s="4"/>
      <c r="K206" s="4"/>
      <c r="L206" s="4"/>
      <c r="M206" s="4"/>
    </row>
    <row r="207" spans="2:14" x14ac:dyDescent="0.25">
      <c r="B207" s="7">
        <f>3/7</f>
        <v>0.42857142857142855</v>
      </c>
      <c r="C207" s="4">
        <f>1/(1-2*B207)</f>
        <v>6.9999999999999973</v>
      </c>
      <c r="D207" s="4" t="str">
        <f>TEXT(ROUND(E207,3),"#")&amp;"_"&amp;TEXT(B207,"0,###")</f>
        <v>5_0,429</v>
      </c>
      <c r="E207" s="7">
        <v>5.0057999999999998</v>
      </c>
      <c r="F207" s="7">
        <v>1.956</v>
      </c>
      <c r="G207" s="7">
        <v>34.683</v>
      </c>
      <c r="H207" s="7">
        <v>0.19220000000000001</v>
      </c>
      <c r="I207" s="4">
        <f>G207/E207</f>
        <v>6.9285628670741941</v>
      </c>
      <c r="J207" s="4">
        <f>F207*E207</f>
        <v>9.7913447999999992</v>
      </c>
      <c r="K207" s="4">
        <f>H207*G207</f>
        <v>6.6660726000000006</v>
      </c>
      <c r="L207" s="4">
        <f>J207-K207</f>
        <v>3.1252721999999986</v>
      </c>
      <c r="M207" s="4">
        <f>K207/J207</f>
        <v>0.68081277252129868</v>
      </c>
      <c r="N207" s="6">
        <v>180</v>
      </c>
    </row>
    <row r="208" spans="2:14" x14ac:dyDescent="0.25">
      <c r="B208" s="7">
        <f>3/7</f>
        <v>0.42857142857142855</v>
      </c>
      <c r="C208" s="4">
        <f>1/(1-2*B208)</f>
        <v>6.9999999999999973</v>
      </c>
      <c r="D208" s="4" t="str">
        <f>TEXT(ROUND(E208,3),"#")&amp;"_"&amp;TEXT(B208,"0,###")</f>
        <v>5_0,429</v>
      </c>
      <c r="E208" s="7">
        <v>5.0007999999999999</v>
      </c>
      <c r="F208" s="7">
        <v>3.4089999999999998</v>
      </c>
      <c r="G208" s="7">
        <v>33.118000000000002</v>
      </c>
      <c r="H208" s="7">
        <v>0.36714999999999998</v>
      </c>
      <c r="I208" s="4">
        <f>G208/E208</f>
        <v>6.6225403935370348</v>
      </c>
      <c r="J208" s="4">
        <f>F208*E208</f>
        <v>17.047727199999997</v>
      </c>
      <c r="K208" s="4">
        <f>H208*G208</f>
        <v>12.1592737</v>
      </c>
      <c r="L208" s="4">
        <f>J208-K208</f>
        <v>4.8884534999999971</v>
      </c>
      <c r="M208" s="4">
        <f>K208/J208</f>
        <v>0.71324896024849593</v>
      </c>
      <c r="N208" s="6">
        <v>90</v>
      </c>
    </row>
    <row r="209" spans="2:14" x14ac:dyDescent="0.25">
      <c r="B209" s="7">
        <f>3/7</f>
        <v>0.42857142857142855</v>
      </c>
      <c r="C209" s="4">
        <f>1/(1-2*B209)</f>
        <v>6.9999999999999973</v>
      </c>
      <c r="D209" s="4" t="str">
        <f>TEXT(ROUND(E209,3),"#")&amp;"_"&amp;TEXT(B209,"0,###")</f>
        <v>5_0,429</v>
      </c>
      <c r="E209" s="7">
        <v>5.0049999999999999</v>
      </c>
      <c r="F209" s="7">
        <v>5.6524999999999999</v>
      </c>
      <c r="G209" s="7">
        <v>31.704999999999998</v>
      </c>
      <c r="H209" s="7">
        <v>0.63277000000000005</v>
      </c>
      <c r="I209" s="4">
        <f>G209/E209</f>
        <v>6.3346653346653348</v>
      </c>
      <c r="J209" s="4">
        <f>F209*E209</f>
        <v>28.2907625</v>
      </c>
      <c r="K209" s="4">
        <f>H209*G209</f>
        <v>20.06197285</v>
      </c>
      <c r="L209" s="4">
        <f>J209-K209</f>
        <v>8.2287896499999995</v>
      </c>
      <c r="M209" s="4">
        <f>K209/J209</f>
        <v>0.70913510549600778</v>
      </c>
      <c r="N209" s="6">
        <v>50</v>
      </c>
    </row>
    <row r="211" spans="2:14" x14ac:dyDescent="0.25">
      <c r="B211" s="7">
        <f>3/7</f>
        <v>0.42857142857142855</v>
      </c>
      <c r="C211" s="4">
        <f>1/(1-2*B211)</f>
        <v>6.9999999999999973</v>
      </c>
      <c r="D211" s="4" t="str">
        <f>TEXT(ROUND(E211,3),"#")&amp;"_"&amp;TEXT(B211,"0,###")</f>
        <v>9_0,429</v>
      </c>
      <c r="E211" s="7">
        <v>9.0002999999999993</v>
      </c>
      <c r="F211" s="7">
        <v>3.6505000000000001</v>
      </c>
      <c r="G211" s="7">
        <v>66.471000000000004</v>
      </c>
      <c r="H211" s="7">
        <v>0.35265999999999997</v>
      </c>
      <c r="I211" s="4">
        <f>G211/E211</f>
        <v>7.3854204859838015</v>
      </c>
      <c r="J211" s="4">
        <f>F211*E211</f>
        <v>32.855595149999999</v>
      </c>
      <c r="K211" s="4">
        <f>H211*G211</f>
        <v>23.441662860000001</v>
      </c>
      <c r="L211" s="4">
        <f>J211-K211</f>
        <v>9.4139322899999982</v>
      </c>
      <c r="M211" s="4">
        <f>K211/J211</f>
        <v>0.71347552077442744</v>
      </c>
      <c r="N211" s="6">
        <v>188</v>
      </c>
    </row>
    <row r="212" spans="2:14" x14ac:dyDescent="0.25">
      <c r="B212" s="7">
        <f>3/7</f>
        <v>0.42857142857142855</v>
      </c>
      <c r="C212" s="4">
        <f>1/(1-2*B212)</f>
        <v>6.9999999999999973</v>
      </c>
      <c r="D212" s="4" t="str">
        <f>TEXT(ROUND(E212,3),"#")&amp;"_"&amp;TEXT(B212,"0,###")</f>
        <v>9_0,429</v>
      </c>
      <c r="E212" s="7">
        <v>9.0030999999999999</v>
      </c>
      <c r="F212" s="7">
        <v>4.6429999999999998</v>
      </c>
      <c r="G212" s="7">
        <v>65.718000000000004</v>
      </c>
      <c r="H212" s="7">
        <v>0.46744000000000002</v>
      </c>
      <c r="I212" s="4">
        <f>G212/E212</f>
        <v>7.299485732692073</v>
      </c>
      <c r="J212" s="4">
        <f>F212*E212</f>
        <v>41.801393300000001</v>
      </c>
      <c r="K212" s="4">
        <f>H212*G212</f>
        <v>30.719221920000003</v>
      </c>
      <c r="L212" s="4">
        <f>J212-K212</f>
        <v>11.082171379999998</v>
      </c>
      <c r="M212" s="4">
        <f>K212/J212</f>
        <v>0.73488511972638004</v>
      </c>
      <c r="N212" s="6">
        <v>140</v>
      </c>
    </row>
    <row r="213" spans="2:14" x14ac:dyDescent="0.25">
      <c r="B213" s="7">
        <f>3/7</f>
        <v>0.42857142857142855</v>
      </c>
      <c r="C213" s="4">
        <f>1/(1-2*B213)</f>
        <v>6.9999999999999973</v>
      </c>
      <c r="D213" s="4" t="str">
        <f>TEXT(ROUND(E213,3),"#")&amp;"_"&amp;TEXT(B213,"0,###")</f>
        <v>9_0,429</v>
      </c>
      <c r="E213" s="6">
        <v>9.0005000000000006</v>
      </c>
      <c r="F213" s="7">
        <v>5.9809999999999999</v>
      </c>
      <c r="G213" s="7">
        <v>65.114999999999995</v>
      </c>
      <c r="H213" s="7">
        <v>0.61919999999999997</v>
      </c>
      <c r="I213" s="4">
        <f>G213/E213</f>
        <v>7.2345980778845611</v>
      </c>
      <c r="J213" s="4">
        <f>F213*E213</f>
        <v>53.831990500000003</v>
      </c>
      <c r="K213" s="4">
        <f>H213*G213</f>
        <v>40.319207999999996</v>
      </c>
      <c r="L213" s="4">
        <f>J213-K213</f>
        <v>13.512782500000007</v>
      </c>
      <c r="M213" s="4">
        <f>K213/J213</f>
        <v>0.74898229891759238</v>
      </c>
      <c r="N213" s="6">
        <v>105</v>
      </c>
    </row>
    <row r="215" spans="2:14" x14ac:dyDescent="0.25">
      <c r="B215" s="7">
        <f>3/7</f>
        <v>0.42857142857142855</v>
      </c>
      <c r="C215" s="4">
        <f>1/(1-2*B215)</f>
        <v>6.9999999999999973</v>
      </c>
      <c r="D215" s="4" t="str">
        <f>TEXT(ROUND(E215,3),"#")&amp;"_"&amp;TEXT(B215,"0,###")</f>
        <v>12_0,429</v>
      </c>
      <c r="E215" s="7">
        <v>12.012</v>
      </c>
      <c r="F215" s="7">
        <v>5.056</v>
      </c>
      <c r="G215" s="7">
        <v>91.521000000000001</v>
      </c>
      <c r="H215" s="7">
        <v>0.48104999999999998</v>
      </c>
      <c r="I215" s="4">
        <f>G215/E215</f>
        <v>7.6191308691308688</v>
      </c>
      <c r="J215" s="4">
        <f>F215*E215</f>
        <v>60.732672000000001</v>
      </c>
      <c r="K215" s="4">
        <f>H215*G215</f>
        <v>44.026177050000001</v>
      </c>
      <c r="L215" s="4">
        <f>J215-K215</f>
        <v>16.70649495</v>
      </c>
      <c r="M215" s="4">
        <f>K215/J215</f>
        <v>0.72491750486459738</v>
      </c>
      <c r="N215" s="6">
        <v>190</v>
      </c>
    </row>
    <row r="216" spans="2:14" x14ac:dyDescent="0.25">
      <c r="B216" s="7">
        <f>3/7</f>
        <v>0.42857142857142855</v>
      </c>
      <c r="C216" s="4">
        <f>1/(1-2*B216)</f>
        <v>6.9999999999999973</v>
      </c>
      <c r="D216" s="4" t="str">
        <f>TEXT(ROUND(E216,3),"#")&amp;"_"&amp;TEXT(B216,"0,###")</f>
        <v>12_0,429</v>
      </c>
      <c r="E216" s="7">
        <v>12</v>
      </c>
      <c r="F216" s="7">
        <v>6.117</v>
      </c>
      <c r="G216" s="7">
        <v>90.42</v>
      </c>
      <c r="H216" s="7">
        <v>0.60178799999999999</v>
      </c>
      <c r="I216" s="4">
        <f>G216/E216</f>
        <v>7.5350000000000001</v>
      </c>
      <c r="J216" s="4">
        <f>F216*E216</f>
        <v>73.403999999999996</v>
      </c>
      <c r="K216" s="4">
        <f>H216*G216</f>
        <v>54.413670959999997</v>
      </c>
      <c r="L216" s="4">
        <f>J216-K216</f>
        <v>18.990329039999999</v>
      </c>
      <c r="M216" s="4">
        <f>K216/J216</f>
        <v>0.74129026974006862</v>
      </c>
      <c r="N216" s="6">
        <v>150</v>
      </c>
    </row>
    <row r="218" spans="2:14" x14ac:dyDescent="0.25">
      <c r="B218" s="7">
        <v>0.45</v>
      </c>
      <c r="C218" s="4">
        <f>1/(1-2*B218)</f>
        <v>10.000000000000002</v>
      </c>
      <c r="D218" s="4" t="str">
        <f>TEXT(ROUND(E218,3),"#,#")&amp;"_"&amp;TEXT(B218,"0,##")</f>
        <v>3,3_0,45</v>
      </c>
      <c r="E218" s="7">
        <v>3.3016000000000001</v>
      </c>
      <c r="F218" s="7">
        <v>1.8059000000000001</v>
      </c>
      <c r="G218" s="7">
        <v>32.350999999999999</v>
      </c>
      <c r="H218" s="7">
        <v>0.10050000000000001</v>
      </c>
      <c r="I218" s="4">
        <f>G218/E218</f>
        <v>9.7985825054519022</v>
      </c>
      <c r="J218" s="4">
        <f>F218*E218</f>
        <v>5.9623594400000002</v>
      </c>
      <c r="K218" s="4">
        <f>H218*G218</f>
        <v>3.2512755000000002</v>
      </c>
      <c r="L218" s="4">
        <f>J218-K218</f>
        <v>2.71108394</v>
      </c>
      <c r="M218" s="4">
        <f>K218/J218</f>
        <v>0.54530015050551872</v>
      </c>
      <c r="N218" s="6">
        <v>320</v>
      </c>
    </row>
    <row r="219" spans="2:14" x14ac:dyDescent="0.25">
      <c r="B219" s="7">
        <v>0.45</v>
      </c>
      <c r="C219" s="4">
        <f>1/(1-2*B219)</f>
        <v>10.000000000000002</v>
      </c>
      <c r="D219" s="4" t="str">
        <f>TEXT(ROUND(E219,3),"#,#")&amp;"_"&amp;TEXT(B219,"0,##")</f>
        <v>3,3_0,45</v>
      </c>
      <c r="E219" s="7">
        <v>3.3008000000000002</v>
      </c>
      <c r="F219" s="7">
        <v>2.9159999999999999</v>
      </c>
      <c r="G219" s="7">
        <v>30.321000000000002</v>
      </c>
      <c r="H219" s="7">
        <v>0.18911</v>
      </c>
      <c r="I219" s="4">
        <f>G219/E219</f>
        <v>9.1859549200193893</v>
      </c>
      <c r="J219" s="4">
        <f>F219*E219</f>
        <v>9.6251328000000012</v>
      </c>
      <c r="K219" s="4">
        <f>H219*G219</f>
        <v>5.7340043100000004</v>
      </c>
      <c r="L219" s="4">
        <f>J219-K219</f>
        <v>3.8911284900000007</v>
      </c>
      <c r="M219" s="4">
        <f>K219/J219</f>
        <v>0.59573248797149059</v>
      </c>
      <c r="N219" s="6">
        <v>160</v>
      </c>
    </row>
    <row r="220" spans="2:14" x14ac:dyDescent="0.25">
      <c r="B220" s="7">
        <v>0.45</v>
      </c>
      <c r="C220" s="4">
        <f>1/(1-2*B220)</f>
        <v>10.000000000000002</v>
      </c>
      <c r="D220" s="4" t="str">
        <f>TEXT(ROUND(E220,3),"#,#")&amp;"_"&amp;TEXT(B220,"0,##")</f>
        <v>3,3_0,45</v>
      </c>
      <c r="E220" s="7">
        <v>3.3008999999999999</v>
      </c>
      <c r="F220" s="7">
        <v>4.1340000000000003</v>
      </c>
      <c r="G220" s="7">
        <v>28.611000000000001</v>
      </c>
      <c r="H220" s="7">
        <v>0.28581000000000001</v>
      </c>
      <c r="I220" s="4">
        <f>G220/E220</f>
        <v>8.6676360992456605</v>
      </c>
      <c r="J220" s="4">
        <f>F220*E220</f>
        <v>13.6459206</v>
      </c>
      <c r="K220" s="4">
        <f>H220*G220</f>
        <v>8.17730991</v>
      </c>
      <c r="L220" s="4">
        <f>J220-K220</f>
        <v>5.4686106900000002</v>
      </c>
      <c r="M220" s="4">
        <f>K220/J220</f>
        <v>0.5992494130443643</v>
      </c>
      <c r="N220" s="6">
        <v>100</v>
      </c>
    </row>
    <row r="221" spans="2:14" x14ac:dyDescent="0.25">
      <c r="B221" s="7">
        <v>0.45</v>
      </c>
      <c r="C221" s="4">
        <f>1/(1-2*B221)</f>
        <v>10.000000000000002</v>
      </c>
      <c r="D221" s="4" t="str">
        <f>TEXT(ROUND(E221,3),"#,#")&amp;"_"&amp;TEXT(B221,"0,##")</f>
        <v>3,3_0,45</v>
      </c>
      <c r="E221" s="7">
        <v>3.2989999999999999</v>
      </c>
      <c r="F221" s="7">
        <v>6.0910000000000002</v>
      </c>
      <c r="G221" s="7">
        <v>26.533000000000001</v>
      </c>
      <c r="H221" s="7">
        <v>0.44113999999999998</v>
      </c>
      <c r="I221" s="4">
        <f>G221/E221</f>
        <v>8.042740224310398</v>
      </c>
      <c r="J221" s="4">
        <f>F221*E221</f>
        <v>20.094208999999999</v>
      </c>
      <c r="K221" s="4">
        <f>H221*G221</f>
        <v>11.70476762</v>
      </c>
      <c r="L221" s="4">
        <f>J221-K221</f>
        <v>8.3894413799999992</v>
      </c>
      <c r="M221" s="4">
        <f>K221/J221</f>
        <v>0.58249456945530931</v>
      </c>
      <c r="N221" s="6">
        <v>60</v>
      </c>
    </row>
    <row r="223" spans="2:14" x14ac:dyDescent="0.25">
      <c r="B223" s="7">
        <v>0.45</v>
      </c>
      <c r="C223" s="4">
        <f>1/(1-2*B223)</f>
        <v>10.000000000000002</v>
      </c>
      <c r="D223" s="4" t="str">
        <f>TEXT(ROUND(E223,3),"#")&amp;"_"&amp;TEXT(B223,"0,###")</f>
        <v>5_0,45</v>
      </c>
      <c r="E223" s="7">
        <v>5.0018000000000002</v>
      </c>
      <c r="F223" s="7">
        <v>2.9260000000000002</v>
      </c>
      <c r="G223" s="7">
        <v>52.23</v>
      </c>
      <c r="H223" s="7">
        <v>0.16159000000000001</v>
      </c>
      <c r="I223" s="4">
        <f>G223/E223</f>
        <v>10.442240793314406</v>
      </c>
      <c r="J223" s="4">
        <f>F223*E223</f>
        <v>14.635266800000002</v>
      </c>
      <c r="K223" s="4">
        <f>H223*G223</f>
        <v>8.4398456999999993</v>
      </c>
      <c r="L223" s="4">
        <f>J223-K223</f>
        <v>6.1954211000000026</v>
      </c>
      <c r="M223" s="4">
        <f>K223/J223</f>
        <v>0.57667863629243832</v>
      </c>
      <c r="N223" s="6">
        <v>320</v>
      </c>
    </row>
    <row r="224" spans="2:14" x14ac:dyDescent="0.25">
      <c r="B224" s="7">
        <v>0.45</v>
      </c>
      <c r="C224" s="4">
        <f>1/(1-2*B224)</f>
        <v>10.000000000000002</v>
      </c>
      <c r="D224" s="4" t="str">
        <f>TEXT(ROUND(E224,3),"#")&amp;"_"&amp;TEXT(B224,"0,###")</f>
        <v>5_0,45</v>
      </c>
      <c r="E224" s="7">
        <v>5.0045000000000002</v>
      </c>
      <c r="F224" s="7">
        <v>4.1163999999999996</v>
      </c>
      <c r="G224" s="7">
        <v>50.54</v>
      </c>
      <c r="H224" s="7">
        <v>0.2515</v>
      </c>
      <c r="I224" s="4">
        <f>G224/E224</f>
        <v>10.098910980117893</v>
      </c>
      <c r="J224" s="4">
        <f>F224*E224</f>
        <v>20.600523799999998</v>
      </c>
      <c r="K224" s="4">
        <f>H224*G224</f>
        <v>12.71081</v>
      </c>
      <c r="L224" s="4">
        <f>J224-K224</f>
        <v>7.8897137999999973</v>
      </c>
      <c r="M224" s="4">
        <f>K224/J224</f>
        <v>0.6170139227236543</v>
      </c>
      <c r="N224" s="6">
        <v>200</v>
      </c>
    </row>
    <row r="225" spans="2:14" x14ac:dyDescent="0.25">
      <c r="B225" s="7">
        <v>0.45</v>
      </c>
      <c r="C225" s="4">
        <f>1/(1-2*B225)</f>
        <v>10.000000000000002</v>
      </c>
      <c r="D225" s="4" t="str">
        <f>TEXT(ROUND(E225,3),"#")&amp;"_"&amp;TEXT(B225,"0,###")</f>
        <v>5_0,45</v>
      </c>
      <c r="E225" s="7">
        <v>5.0030000000000001</v>
      </c>
      <c r="F225" s="7">
        <v>5.109</v>
      </c>
      <c r="G225" s="7">
        <v>49.38</v>
      </c>
      <c r="H225" s="7">
        <v>0.32679999999999998</v>
      </c>
      <c r="I225" s="4">
        <f>G225/E225</f>
        <v>9.8700779532280638</v>
      </c>
      <c r="J225" s="4">
        <f>F225*E225</f>
        <v>25.560327000000001</v>
      </c>
      <c r="K225" s="4">
        <f>H225*G225</f>
        <v>16.137384000000001</v>
      </c>
      <c r="L225" s="4">
        <f>J225-K225</f>
        <v>9.4229430000000001</v>
      </c>
      <c r="M225" s="4">
        <f>K225/J225</f>
        <v>0.63134497457720318</v>
      </c>
      <c r="N225" s="6">
        <v>150</v>
      </c>
    </row>
    <row r="226" spans="2:14" x14ac:dyDescent="0.25">
      <c r="B226" s="7">
        <v>0.45</v>
      </c>
      <c r="C226" s="4">
        <f>1/(1-2*B226)</f>
        <v>10.000000000000002</v>
      </c>
      <c r="D226" s="4" t="str">
        <f>TEXT(ROUND(E226,3),"#")&amp;"_"&amp;TEXT(B226,"0,###")</f>
        <v>5_0,45</v>
      </c>
      <c r="E226" s="7">
        <v>5.0010000000000003</v>
      </c>
      <c r="F226" s="7">
        <v>5.9539999999999997</v>
      </c>
      <c r="G226" s="7">
        <v>48.673999999999999</v>
      </c>
      <c r="H226" s="7">
        <v>0.38879999999999998</v>
      </c>
      <c r="I226" s="4">
        <f>G226/E226</f>
        <v>9.7328534293141367</v>
      </c>
      <c r="J226" s="4">
        <f>F226*E226</f>
        <v>29.775954000000002</v>
      </c>
      <c r="K226" s="4">
        <f>H226*G226</f>
        <v>18.9244512</v>
      </c>
      <c r="L226" s="4">
        <f>J226-K226</f>
        <v>10.851502800000002</v>
      </c>
      <c r="M226" s="4">
        <f>K226/J226</f>
        <v>0.63556154069824256</v>
      </c>
      <c r="N226" s="6">
        <v>125</v>
      </c>
    </row>
    <row r="228" spans="2:14" x14ac:dyDescent="0.25">
      <c r="B228" s="7">
        <v>0.45</v>
      </c>
      <c r="C228" s="4">
        <f>1/(1-2*B228)</f>
        <v>10.000000000000002</v>
      </c>
      <c r="D228" s="4" t="str">
        <f>TEXT(ROUND(E228,3),"#")&amp;"_"&amp;TEXT(B228,"0,##")</f>
        <v>9_0,45</v>
      </c>
      <c r="E228" s="7">
        <v>9.0229999999999997</v>
      </c>
      <c r="F228" s="7">
        <v>5.66</v>
      </c>
      <c r="G228" s="8">
        <v>103.03</v>
      </c>
      <c r="H228" s="7">
        <v>0.29218</v>
      </c>
      <c r="I228" s="4">
        <f>G228/E228</f>
        <v>11.418596918984818</v>
      </c>
      <c r="J228" s="4">
        <f>F228*E228</f>
        <v>51.070180000000001</v>
      </c>
      <c r="K228" s="4">
        <f>H228*G228</f>
        <v>30.1033054</v>
      </c>
      <c r="L228" s="4">
        <f>J228-K228</f>
        <v>20.966874600000001</v>
      </c>
      <c r="M228" s="4">
        <f>K228/J228</f>
        <v>0.58944976109346003</v>
      </c>
      <c r="N228" s="6">
        <v>350</v>
      </c>
    </row>
    <row r="229" spans="2:14" x14ac:dyDescent="0.25">
      <c r="B229" s="7">
        <v>0.45</v>
      </c>
      <c r="C229" s="4">
        <f>1/(1-2*B229)</f>
        <v>10.000000000000002</v>
      </c>
      <c r="D229" s="4" t="str">
        <f>TEXT(ROUND(E229,3),"#")&amp;"_"&amp;TEXT(B229,"0,##")</f>
        <v>9_0,45</v>
      </c>
      <c r="E229" s="7">
        <v>8.9610000000000003</v>
      </c>
      <c r="F229" s="7">
        <v>6.1280000000000001</v>
      </c>
      <c r="G229" s="8">
        <v>101.61</v>
      </c>
      <c r="H229" s="7">
        <v>0.32579999999999998</v>
      </c>
      <c r="I229" s="4">
        <f>G229/E229</f>
        <v>11.339136257114161</v>
      </c>
      <c r="J229" s="4">
        <f>F229*E229</f>
        <v>54.913008000000005</v>
      </c>
      <c r="K229" s="4">
        <f>H229*G229</f>
        <v>33.104537999999998</v>
      </c>
      <c r="L229" s="4">
        <f>J229-K229</f>
        <v>21.808470000000007</v>
      </c>
      <c r="M229" s="4">
        <f>K229/J229</f>
        <v>0.60285420896994013</v>
      </c>
      <c r="N229" s="6">
        <v>310</v>
      </c>
    </row>
  </sheetData>
  <mergeCells count="2">
    <mergeCell ref="E6:H6"/>
    <mergeCell ref="I6:M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A98F-C214-4381-BA0D-5725FD7BD043}">
  <dimension ref="B1:P231"/>
  <sheetViews>
    <sheetView zoomScale="85" zoomScaleNormal="85" workbookViewId="0">
      <pane xSplit="1" ySplit="7" topLeftCell="B41" activePane="bottomRight" state="frozen"/>
      <selection pane="topRight" activeCell="B1" sqref="B1"/>
      <selection pane="bottomLeft" activeCell="A8" sqref="A8"/>
      <selection pane="bottomRight" activeCell="D81" sqref="D81"/>
    </sheetView>
  </sheetViews>
  <sheetFormatPr baseColWidth="10" defaultColWidth="9.140625" defaultRowHeight="15" x14ac:dyDescent="0.25"/>
  <cols>
    <col min="1" max="1" width="3.5703125" customWidth="1"/>
    <col min="2" max="2" width="12" style="6" customWidth="1"/>
    <col min="3" max="3" width="15.7109375" style="10" customWidth="1"/>
    <col min="4" max="4" width="12.140625" style="5" bestFit="1" customWidth="1"/>
    <col min="5" max="5" width="9.7109375" style="6" customWidth="1"/>
    <col min="6" max="7" width="9.140625" style="6"/>
    <col min="8" max="8" width="9.28515625" style="6" bestFit="1" customWidth="1"/>
    <col min="9" max="11" width="9.5703125" style="5" bestFit="1" customWidth="1"/>
    <col min="12" max="12" width="9.28515625" style="5" bestFit="1" customWidth="1"/>
    <col min="13" max="13" width="9.140625" style="5"/>
    <col min="14" max="14" width="11.5703125" style="6" customWidth="1"/>
    <col min="15" max="15" width="28.85546875" style="3" bestFit="1" customWidth="1"/>
  </cols>
  <sheetData>
    <row r="1" spans="2:15" x14ac:dyDescent="0.25">
      <c r="B1" s="1" t="s">
        <v>49</v>
      </c>
      <c r="C1"/>
      <c r="D1"/>
      <c r="E1"/>
      <c r="F1"/>
      <c r="G1"/>
      <c r="H1"/>
      <c r="I1"/>
      <c r="J1"/>
      <c r="K1"/>
      <c r="L1"/>
      <c r="M1"/>
      <c r="N1" s="1"/>
      <c r="O1"/>
    </row>
    <row r="2" spans="2:15" x14ac:dyDescent="0.25">
      <c r="B2"/>
      <c r="C2"/>
      <c r="D2"/>
      <c r="E2"/>
      <c r="F2"/>
      <c r="G2"/>
      <c r="H2"/>
      <c r="I2"/>
      <c r="J2"/>
      <c r="K2"/>
      <c r="L2"/>
      <c r="M2"/>
      <c r="N2" s="1"/>
      <c r="O2"/>
    </row>
    <row r="3" spans="2:15" x14ac:dyDescent="0.25">
      <c r="B3"/>
      <c r="C3"/>
      <c r="D3"/>
      <c r="E3"/>
      <c r="F3"/>
      <c r="G3"/>
      <c r="H3"/>
      <c r="I3"/>
      <c r="J3"/>
      <c r="K3"/>
      <c r="L3"/>
      <c r="M3"/>
      <c r="N3" s="1"/>
      <c r="O3"/>
    </row>
    <row r="4" spans="2:15" x14ac:dyDescent="0.25">
      <c r="B4" s="1" t="s">
        <v>50</v>
      </c>
      <c r="C4"/>
      <c r="D4"/>
      <c r="E4"/>
      <c r="F4"/>
      <c r="G4"/>
      <c r="H4"/>
      <c r="I4"/>
      <c r="J4"/>
      <c r="K4"/>
      <c r="L4"/>
      <c r="M4"/>
      <c r="N4" s="1"/>
      <c r="O4"/>
    </row>
    <row r="5" spans="2:15" x14ac:dyDescent="0.25">
      <c r="B5" s="1" t="s">
        <v>84</v>
      </c>
      <c r="C5"/>
      <c r="D5"/>
      <c r="E5"/>
      <c r="F5"/>
      <c r="G5"/>
      <c r="H5"/>
      <c r="I5"/>
      <c r="J5"/>
      <c r="K5"/>
      <c r="L5"/>
      <c r="M5"/>
      <c r="N5" s="1" t="s">
        <v>48</v>
      </c>
      <c r="O5"/>
    </row>
    <row r="6" spans="2:15" x14ac:dyDescent="0.25">
      <c r="B6" s="6" t="s">
        <v>41</v>
      </c>
      <c r="C6" s="6" t="s">
        <v>51</v>
      </c>
      <c r="D6" s="9" t="s">
        <v>44</v>
      </c>
      <c r="E6" s="22" t="s">
        <v>28</v>
      </c>
      <c r="F6" s="22"/>
      <c r="G6" s="22"/>
      <c r="H6" s="22"/>
      <c r="I6" s="23" t="s">
        <v>29</v>
      </c>
      <c r="J6" s="23"/>
      <c r="K6" s="23"/>
      <c r="L6" s="23"/>
      <c r="M6" s="23"/>
      <c r="N6" s="6" t="s">
        <v>30</v>
      </c>
      <c r="O6" s="3" t="s">
        <v>81</v>
      </c>
    </row>
    <row r="7" spans="2:15" x14ac:dyDescent="0.25">
      <c r="B7" s="6" t="s">
        <v>3</v>
      </c>
      <c r="C7" s="6" t="s">
        <v>52</v>
      </c>
      <c r="D7" s="5" t="s">
        <v>45</v>
      </c>
      <c r="E7" s="6" t="s">
        <v>31</v>
      </c>
      <c r="F7" s="6" t="s">
        <v>32</v>
      </c>
      <c r="G7" s="6" t="s">
        <v>33</v>
      </c>
      <c r="H7" s="6" t="s">
        <v>34</v>
      </c>
      <c r="I7" s="5" t="s">
        <v>1</v>
      </c>
      <c r="J7" s="5" t="s">
        <v>35</v>
      </c>
      <c r="K7" s="5" t="s">
        <v>36</v>
      </c>
      <c r="L7" s="5" t="s">
        <v>37</v>
      </c>
      <c r="M7" s="5" t="s">
        <v>2</v>
      </c>
      <c r="N7" s="6" t="s">
        <v>46</v>
      </c>
    </row>
    <row r="8" spans="2:15" x14ac:dyDescent="0.25">
      <c r="B8" s="6">
        <v>0.29899999999999999</v>
      </c>
      <c r="C8" s="11" t="s">
        <v>53</v>
      </c>
      <c r="D8" s="4" t="str">
        <f>TEXT(ROUND(E8,3),"#,#")&amp;"_"&amp;TEXT(G8,"0")</f>
        <v>3,3_12</v>
      </c>
      <c r="E8" s="7">
        <v>3.3000099999999999</v>
      </c>
      <c r="F8" s="7">
        <v>0.43375000000000002</v>
      </c>
      <c r="G8" s="7">
        <v>12.06</v>
      </c>
      <c r="H8" s="7">
        <v>8.3280000000000007E-2</v>
      </c>
      <c r="I8" s="4">
        <f>G8/E8</f>
        <v>3.6545343801988484</v>
      </c>
      <c r="J8" s="4">
        <f>F8*E8</f>
        <v>1.4313793375000001</v>
      </c>
      <c r="K8" s="4">
        <f>H8*G8</f>
        <v>1.0043568</v>
      </c>
      <c r="L8" s="4">
        <f>J8-K8</f>
        <v>0.42702253750000008</v>
      </c>
      <c r="M8" s="4">
        <f>K8/J8</f>
        <v>0.7016706009981788</v>
      </c>
      <c r="N8" s="6">
        <v>144</v>
      </c>
    </row>
    <row r="9" spans="2:15" x14ac:dyDescent="0.25">
      <c r="B9" s="6">
        <v>0.38</v>
      </c>
      <c r="C9" s="11" t="s">
        <v>54</v>
      </c>
      <c r="D9" s="4" t="str">
        <f t="shared" ref="D9" si="0">TEXT(ROUND(E9,3),"#,#")&amp;"_"&amp;TEXT(G9,"0")</f>
        <v>3,3_12</v>
      </c>
      <c r="E9" s="7">
        <v>3.3001</v>
      </c>
      <c r="F9" s="7">
        <v>1.0337000000000001</v>
      </c>
      <c r="G9" s="7">
        <v>12.061</v>
      </c>
      <c r="H9" s="7">
        <v>0.2092</v>
      </c>
      <c r="I9" s="4">
        <f t="shared" ref="I9" si="1">G9/E9</f>
        <v>3.6547377352201447</v>
      </c>
      <c r="J9" s="4">
        <f t="shared" ref="J9" si="2">F9*E9</f>
        <v>3.4113133700000002</v>
      </c>
      <c r="K9" s="4">
        <f t="shared" ref="K9" si="3">H9*G9</f>
        <v>2.5231612000000001</v>
      </c>
      <c r="L9" s="4">
        <f t="shared" ref="L9" si="4">J9-K9</f>
        <v>0.88815217000000013</v>
      </c>
      <c r="M9" s="4">
        <f t="shared" ref="M9" si="5">K9/J9</f>
        <v>0.73964509452264127</v>
      </c>
      <c r="N9" s="6">
        <v>57.6</v>
      </c>
    </row>
    <row r="10" spans="2:15" x14ac:dyDescent="0.25">
      <c r="B10" s="6">
        <v>0.38800000000000001</v>
      </c>
      <c r="C10" s="11" t="s">
        <v>54</v>
      </c>
      <c r="D10" s="4" t="str">
        <f>TEXT(ROUND(E10,3),"#,#")&amp;"_"&amp;TEXT(G10,"0")</f>
        <v>3,3_12</v>
      </c>
      <c r="E10" s="7">
        <v>3.3012000000000001</v>
      </c>
      <c r="F10" s="7">
        <v>2.0990600000000001</v>
      </c>
      <c r="G10" s="7">
        <v>12.0345</v>
      </c>
      <c r="H10" s="7">
        <v>0.41532000000000002</v>
      </c>
      <c r="I10" s="4">
        <f>G10/E10</f>
        <v>3.6454925481643037</v>
      </c>
      <c r="J10" s="4">
        <f>F10*E10</f>
        <v>6.9294168720000009</v>
      </c>
      <c r="K10" s="4">
        <f>H10*G10</f>
        <v>4.99816854</v>
      </c>
      <c r="L10" s="4">
        <f>J10-K10</f>
        <v>1.9312483320000009</v>
      </c>
      <c r="M10" s="4">
        <f>K10/J10</f>
        <v>0.72129713543376484</v>
      </c>
      <c r="N10" s="6">
        <v>28.8</v>
      </c>
    </row>
    <row r="11" spans="2:15" x14ac:dyDescent="0.25">
      <c r="B11" s="6">
        <v>0.39400000000000002</v>
      </c>
      <c r="C11" s="11" t="s">
        <v>54</v>
      </c>
      <c r="D11" s="4" t="str">
        <f t="shared" ref="D11" si="6">TEXT(ROUND(E11,3),"#,#")&amp;"_"&amp;TEXT(G11,"0")</f>
        <v>3,3_12</v>
      </c>
      <c r="E11" s="7">
        <v>3.3022</v>
      </c>
      <c r="F11" s="7">
        <v>3.2989999999999999</v>
      </c>
      <c r="G11" s="7">
        <v>12.045</v>
      </c>
      <c r="H11" s="7">
        <v>0.62329000000000001</v>
      </c>
      <c r="I11" s="4">
        <f t="shared" ref="I11" si="7">G11/E11</f>
        <v>3.6475682878081277</v>
      </c>
      <c r="J11" s="4">
        <f t="shared" ref="J11" si="8">F11*E11</f>
        <v>10.893957799999999</v>
      </c>
      <c r="K11" s="4">
        <f t="shared" ref="K11" si="9">H11*G11</f>
        <v>7.5075280500000003</v>
      </c>
      <c r="L11" s="4">
        <f t="shared" ref="L11" si="10">J11-K11</f>
        <v>3.3864297499999987</v>
      </c>
      <c r="M11" s="4">
        <f t="shared" ref="M11" si="11">K11/J11</f>
        <v>0.68914605580719257</v>
      </c>
      <c r="N11" s="6">
        <v>19.2</v>
      </c>
    </row>
    <row r="12" spans="2:15" x14ac:dyDescent="0.25">
      <c r="B12" s="6">
        <v>0.39800000000000002</v>
      </c>
      <c r="C12" s="11" t="s">
        <v>54</v>
      </c>
      <c r="D12" s="4" t="str">
        <f t="shared" ref="D12:D13" si="12">TEXT(ROUND(E12,3),"#,#")&amp;"_"&amp;TEXT(G12,"0")</f>
        <v>3,3_12</v>
      </c>
      <c r="E12" s="7">
        <v>3.2995000000000001</v>
      </c>
      <c r="F12" s="7">
        <v>4.7065999999999999</v>
      </c>
      <c r="G12" s="7">
        <v>12.065</v>
      </c>
      <c r="H12" s="7">
        <v>0.83079999999999998</v>
      </c>
      <c r="I12" s="4">
        <f t="shared" ref="I12:I13" si="13">G12/E12</f>
        <v>3.656614638581603</v>
      </c>
      <c r="J12" s="4">
        <f t="shared" ref="J12:J13" si="14">F12*E12</f>
        <v>15.5294267</v>
      </c>
      <c r="K12" s="4">
        <f t="shared" ref="K12:K13" si="15">H12*G12</f>
        <v>10.023601999999999</v>
      </c>
      <c r="L12" s="4">
        <f t="shared" ref="L12:L13" si="16">J12-K12</f>
        <v>5.5058247000000016</v>
      </c>
      <c r="M12" s="4">
        <f t="shared" ref="M12:M13" si="17">K12/J12</f>
        <v>0.64545859893205193</v>
      </c>
      <c r="N12" s="6">
        <v>14.4</v>
      </c>
    </row>
    <row r="13" spans="2:15" x14ac:dyDescent="0.25">
      <c r="B13" s="6">
        <v>0.40400000000000003</v>
      </c>
      <c r="C13" s="11" t="s">
        <v>54</v>
      </c>
      <c r="D13" s="4" t="str">
        <f t="shared" si="12"/>
        <v>3,3_12</v>
      </c>
      <c r="E13" s="7">
        <v>3.3001999999999998</v>
      </c>
      <c r="F13" s="7">
        <v>5.8208000000000002</v>
      </c>
      <c r="G13" s="7">
        <v>12.073</v>
      </c>
      <c r="H13" s="7">
        <v>0.99556999999999995</v>
      </c>
      <c r="I13" s="4">
        <f t="shared" si="13"/>
        <v>3.6582631355675419</v>
      </c>
      <c r="J13" s="4">
        <f t="shared" si="14"/>
        <v>19.209804160000001</v>
      </c>
      <c r="K13" s="4">
        <f t="shared" si="15"/>
        <v>12.01951661</v>
      </c>
      <c r="L13" s="4">
        <f t="shared" si="16"/>
        <v>7.1902875500000007</v>
      </c>
      <c r="M13" s="4">
        <f t="shared" si="17"/>
        <v>0.62569698836534104</v>
      </c>
      <c r="N13" s="6">
        <v>12</v>
      </c>
    </row>
    <row r="14" spans="2:15" x14ac:dyDescent="0.25">
      <c r="C14" s="11"/>
      <c r="D14" s="4"/>
      <c r="E14" s="7"/>
      <c r="F14" s="7"/>
      <c r="G14" s="7"/>
      <c r="H14" s="7"/>
      <c r="I14" s="4"/>
      <c r="J14" s="4"/>
      <c r="K14" s="4"/>
      <c r="L14" s="4"/>
      <c r="M14" s="4"/>
    </row>
    <row r="15" spans="2:15" x14ac:dyDescent="0.25">
      <c r="B15" s="6">
        <v>0.27200000000000002</v>
      </c>
      <c r="C15" s="11" t="s">
        <v>53</v>
      </c>
      <c r="D15" s="4" t="str">
        <f t="shared" ref="D15" si="18">TEXT(ROUND(E15,3),"#,#")&amp;"_"&amp;TEXT(G15,"0")</f>
        <v>3,3_24</v>
      </c>
      <c r="E15" s="7">
        <v>3.3075000000000001</v>
      </c>
      <c r="F15" s="7">
        <v>0.59909999999999997</v>
      </c>
      <c r="G15" s="7">
        <v>24.047999999999998</v>
      </c>
      <c r="H15" s="7">
        <v>4.8079999999999998E-2</v>
      </c>
      <c r="I15" s="4">
        <f t="shared" ref="I15" si="19">G15/E15</f>
        <v>7.2707482993197274</v>
      </c>
      <c r="J15" s="4">
        <f t="shared" ref="J15" si="20">F15*E15</f>
        <v>1.98152325</v>
      </c>
      <c r="K15" s="4">
        <f t="shared" ref="K15" si="21">H15*G15</f>
        <v>1.1562278399999999</v>
      </c>
      <c r="L15" s="4">
        <f t="shared" ref="L15" si="22">J15-K15</f>
        <v>0.82529541000000006</v>
      </c>
      <c r="M15" s="4">
        <f t="shared" ref="M15" si="23">K15/J15</f>
        <v>0.58350455388297862</v>
      </c>
      <c r="N15" s="6">
        <v>500</v>
      </c>
      <c r="O15" s="12" t="str">
        <f>C15&amp;"_"&amp;TEXT(B15,"0,####")&amp;"_"&amp;TEXT(ROUND(E15,3),"#,#")&amp;"_"&amp;TEXT(G15,"0")&amp;"_"&amp;TEXT(ROUND(K15,1),"0,##")</f>
        <v>dcm_0,272_3,3_24_1,2</v>
      </c>
    </row>
    <row r="16" spans="2:15" x14ac:dyDescent="0.25">
      <c r="B16" s="6">
        <v>0.435</v>
      </c>
      <c r="C16" s="11" t="s">
        <v>54</v>
      </c>
      <c r="D16" s="4" t="str">
        <f t="shared" ref="D16:D19" si="24">TEXT(ROUND(E16,3),"#,#")&amp;"_"&amp;TEXT(G16,"0")</f>
        <v>3,3_24</v>
      </c>
      <c r="E16" s="7">
        <v>3.3079000000000001</v>
      </c>
      <c r="F16" s="7">
        <v>1.2416</v>
      </c>
      <c r="G16" s="7">
        <v>24.015999999999998</v>
      </c>
      <c r="H16" s="7">
        <v>0.1045</v>
      </c>
      <c r="I16" s="4">
        <f t="shared" ref="I16:I19" si="25">G16/E16</f>
        <v>7.260195290063181</v>
      </c>
      <c r="J16" s="4">
        <f t="shared" ref="J16:J19" si="26">F16*E16</f>
        <v>4.1070886400000006</v>
      </c>
      <c r="K16" s="4">
        <f t="shared" ref="K16:K19" si="27">H16*G16</f>
        <v>2.5096719999999997</v>
      </c>
      <c r="L16" s="4">
        <f t="shared" ref="L16:L19" si="28">J16-K16</f>
        <v>1.5974166400000009</v>
      </c>
      <c r="M16" s="4">
        <f t="shared" ref="M16:M19" si="29">K16/J16</f>
        <v>0.61105864031217971</v>
      </c>
      <c r="N16" s="6">
        <v>230</v>
      </c>
    </row>
    <row r="17" spans="2:15" x14ac:dyDescent="0.25">
      <c r="B17" s="6">
        <v>0.4395</v>
      </c>
      <c r="C17" s="11" t="s">
        <v>54</v>
      </c>
      <c r="D17" s="4" t="str">
        <f t="shared" si="24"/>
        <v>3,3_24</v>
      </c>
      <c r="E17" s="7">
        <v>3.3068</v>
      </c>
      <c r="F17" s="7">
        <v>2.3834</v>
      </c>
      <c r="G17" s="7">
        <v>24.033000000000001</v>
      </c>
      <c r="H17" s="7">
        <v>0.20863000000000001</v>
      </c>
      <c r="I17" s="4">
        <f t="shared" si="25"/>
        <v>7.2677513003507928</v>
      </c>
      <c r="J17" s="4">
        <f t="shared" si="26"/>
        <v>7.8814271199999997</v>
      </c>
      <c r="K17" s="4">
        <f t="shared" si="27"/>
        <v>5.0140047900000004</v>
      </c>
      <c r="L17" s="4">
        <f t="shared" si="28"/>
        <v>2.8674223299999992</v>
      </c>
      <c r="M17" s="4">
        <f t="shared" si="29"/>
        <v>0.63617980775035077</v>
      </c>
      <c r="N17" s="6">
        <v>115</v>
      </c>
      <c r="O17" s="12"/>
    </row>
    <row r="18" spans="2:15" x14ac:dyDescent="0.25">
      <c r="B18" s="6">
        <v>0.44230000000000003</v>
      </c>
      <c r="C18" s="11" t="s">
        <v>54</v>
      </c>
      <c r="D18" s="4" t="str">
        <f t="shared" si="24"/>
        <v>3,3_24</v>
      </c>
      <c r="E18" s="7">
        <v>3.3008999999999999</v>
      </c>
      <c r="F18" s="7">
        <v>3.6324999999999998</v>
      </c>
      <c r="G18" s="7">
        <v>24.09</v>
      </c>
      <c r="H18" s="7">
        <v>0.3125</v>
      </c>
      <c r="I18" s="4">
        <f t="shared" si="25"/>
        <v>7.2980096337362541</v>
      </c>
      <c r="J18" s="4">
        <f t="shared" si="26"/>
        <v>11.990519249999998</v>
      </c>
      <c r="K18" s="4">
        <f t="shared" si="27"/>
        <v>7.5281250000000002</v>
      </c>
      <c r="L18" s="4">
        <f t="shared" si="28"/>
        <v>4.4623942499999982</v>
      </c>
      <c r="M18" s="4">
        <f t="shared" si="29"/>
        <v>0.62783978266829443</v>
      </c>
      <c r="N18" s="6">
        <v>76</v>
      </c>
      <c r="O18" s="12" t="str">
        <f>C18&amp;"_"&amp;TEXT(B18,"0,####")&amp;"_"&amp;TEXT(ROUND(E18,3),"#,#")&amp;"_"&amp;TEXT(G18,"0")&amp;"_"&amp;TEXT(ROUND(K18,1),"0,##")</f>
        <v>ccm_0,4423_3,3_24_7,5</v>
      </c>
    </row>
    <row r="19" spans="2:15" x14ac:dyDescent="0.25">
      <c r="B19" s="6">
        <v>0.44529999999999997</v>
      </c>
      <c r="C19" s="11" t="s">
        <v>54</v>
      </c>
      <c r="D19" s="4" t="str">
        <f t="shared" si="24"/>
        <v>3,3_24</v>
      </c>
      <c r="E19" s="7">
        <v>3.3</v>
      </c>
      <c r="F19" s="7">
        <v>5.0199999999999996</v>
      </c>
      <c r="G19" s="7">
        <v>24.068000000000001</v>
      </c>
      <c r="H19" s="7">
        <v>0.41426000000000002</v>
      </c>
      <c r="I19" s="4">
        <f t="shared" si="25"/>
        <v>7.2933333333333339</v>
      </c>
      <c r="J19" s="4">
        <f t="shared" si="26"/>
        <v>16.565999999999999</v>
      </c>
      <c r="K19" s="4">
        <f t="shared" si="27"/>
        <v>9.9704096800000013</v>
      </c>
      <c r="L19" s="4">
        <f t="shared" si="28"/>
        <v>6.5955903199999977</v>
      </c>
      <c r="M19" s="4">
        <f t="shared" si="29"/>
        <v>0.60185981407702538</v>
      </c>
      <c r="N19" s="6">
        <v>58</v>
      </c>
    </row>
    <row r="20" spans="2:15" x14ac:dyDescent="0.25">
      <c r="B20" s="6">
        <v>0.44700000000000001</v>
      </c>
      <c r="C20" s="11" t="s">
        <v>54</v>
      </c>
      <c r="D20" s="4" t="str">
        <f t="shared" ref="D20" si="30">TEXT(ROUND(E20,3),"#,#")&amp;"_"&amp;TEXT(G20,"0")</f>
        <v>3,3_24</v>
      </c>
      <c r="E20" s="7">
        <v>3.3010000000000002</v>
      </c>
      <c r="F20" s="7">
        <v>6.1239999999999997</v>
      </c>
      <c r="G20" s="7">
        <v>24.065000000000001</v>
      </c>
      <c r="H20" s="7">
        <v>0.48887999999999998</v>
      </c>
      <c r="I20" s="4">
        <f t="shared" ref="I20" si="31">G20/E20</f>
        <v>7.2902150863374739</v>
      </c>
      <c r="J20" s="4">
        <f t="shared" ref="J20" si="32">F20*E20</f>
        <v>20.215323999999999</v>
      </c>
      <c r="K20" s="4">
        <f t="shared" ref="K20" si="33">H20*G20</f>
        <v>11.7648972</v>
      </c>
      <c r="L20" s="4">
        <f t="shared" ref="L20" si="34">J20-K20</f>
        <v>8.4504267999999989</v>
      </c>
      <c r="M20" s="4">
        <f t="shared" ref="M20" si="35">K20/J20</f>
        <v>0.58197915601055916</v>
      </c>
      <c r="N20" s="6">
        <v>49</v>
      </c>
      <c r="O20" s="12" t="str">
        <f>C20&amp;"_"&amp;TEXT(B20,"0,####")&amp;"_"&amp;TEXT(ROUND(E20,3),"#,#")&amp;"_"&amp;TEXT(G20,"0")&amp;"_"&amp;TEXT(ROUND(K20,1),"0,##")</f>
        <v>ccm_0,447_3,3_24_11,8</v>
      </c>
    </row>
    <row r="21" spans="2:15" x14ac:dyDescent="0.25">
      <c r="C21" s="11"/>
      <c r="D21" s="4"/>
      <c r="E21" s="7"/>
      <c r="F21" s="7"/>
      <c r="G21" s="7"/>
      <c r="H21" s="7"/>
      <c r="I21" s="4"/>
      <c r="J21" s="4"/>
      <c r="K21" s="4"/>
      <c r="L21" s="4"/>
      <c r="M21" s="4"/>
    </row>
    <row r="22" spans="2:15" x14ac:dyDescent="0.25">
      <c r="B22" s="6">
        <v>0.125</v>
      </c>
      <c r="C22" s="11" t="s">
        <v>53</v>
      </c>
      <c r="D22" s="4" t="str">
        <f t="shared" ref="D22" si="36">TEXT(ROUND(E22,3),"#,#")&amp;"_"&amp;TEXT(G22,"0")</f>
        <v>5,_12</v>
      </c>
      <c r="E22" s="7">
        <v>5.0039999999999996</v>
      </c>
      <c r="F22" s="7">
        <v>0.122</v>
      </c>
      <c r="G22" s="7">
        <v>12.05</v>
      </c>
      <c r="H22" s="7">
        <v>3.9899999999999998E-2</v>
      </c>
      <c r="I22" s="4">
        <f t="shared" ref="I22" si="37">G22/E22</f>
        <v>2.4080735411670666</v>
      </c>
      <c r="J22" s="4">
        <f t="shared" ref="J22" si="38">F22*E22</f>
        <v>0.61048799999999992</v>
      </c>
      <c r="K22" s="4">
        <f t="shared" ref="K22" si="39">H22*G22</f>
        <v>0.48079500000000003</v>
      </c>
      <c r="L22" s="4">
        <f t="shared" ref="L22" si="40">J22-K22</f>
        <v>0.12969299999999989</v>
      </c>
      <c r="M22" s="4">
        <f t="shared" ref="M22" si="41">K22/J22</f>
        <v>0.78755847780791777</v>
      </c>
      <c r="N22" s="6">
        <v>300</v>
      </c>
      <c r="O22" s="12" t="str">
        <f>C22&amp;"_"&amp;TEXT(B22,"0,####")&amp;"_"&amp;TEXT(ROUND(E22,3),"#,#")&amp;"_"&amp;TEXT(G22,"0")&amp;"_"&amp;TEXT(ROUND(K22,1),"0,##")</f>
        <v>dcm_0,125_5,_12_0,5</v>
      </c>
    </row>
    <row r="23" spans="2:15" x14ac:dyDescent="0.25">
      <c r="B23" s="6">
        <v>0.184</v>
      </c>
      <c r="C23" s="11" t="s">
        <v>53</v>
      </c>
      <c r="D23" s="4" t="str">
        <f t="shared" ref="D23:D28" si="42">TEXT(ROUND(E23,3),"#,#")&amp;"_"&amp;TEXT(G23,"0")</f>
        <v>5,_12</v>
      </c>
      <c r="E23" s="7">
        <v>5.0109000000000004</v>
      </c>
      <c r="F23" s="7">
        <v>0.24909999999999999</v>
      </c>
      <c r="G23" s="7">
        <v>12.003</v>
      </c>
      <c r="H23" s="7">
        <v>8.3099999999999993E-2</v>
      </c>
      <c r="I23" s="4">
        <f t="shared" ref="I23:I28" si="43">G23/E23</f>
        <v>2.3953780757947674</v>
      </c>
      <c r="J23" s="4">
        <f t="shared" ref="J23:J28" si="44">F23*E23</f>
        <v>1.24821519</v>
      </c>
      <c r="K23" s="4">
        <f t="shared" ref="K23:K28" si="45">H23*G23</f>
        <v>0.99744929999999998</v>
      </c>
      <c r="L23" s="4">
        <f t="shared" ref="L23:L28" si="46">J23-K23</f>
        <v>0.25076589000000005</v>
      </c>
      <c r="M23" s="4">
        <f t="shared" ref="M23:M28" si="47">K23/J23</f>
        <v>0.79910043395642383</v>
      </c>
      <c r="N23" s="6">
        <v>144</v>
      </c>
    </row>
    <row r="24" spans="2:15" x14ac:dyDescent="0.25">
      <c r="B24" s="6">
        <v>0.308</v>
      </c>
      <c r="C24" s="11" t="s">
        <v>54</v>
      </c>
      <c r="D24" s="4" t="str">
        <f t="shared" si="42"/>
        <v>5,_12</v>
      </c>
      <c r="E24" s="7">
        <v>5.0072999999999999</v>
      </c>
      <c r="F24" s="7">
        <v>0.61209999999999998</v>
      </c>
      <c r="G24" s="7">
        <v>12.012</v>
      </c>
      <c r="H24" s="7">
        <v>0.20699000000000001</v>
      </c>
      <c r="I24" s="4">
        <f t="shared" si="43"/>
        <v>2.3988976094901444</v>
      </c>
      <c r="J24" s="4">
        <f t="shared" si="44"/>
        <v>3.0649683299999997</v>
      </c>
      <c r="K24" s="4">
        <f t="shared" si="45"/>
        <v>2.4863638800000003</v>
      </c>
      <c r="L24" s="4">
        <f t="shared" si="46"/>
        <v>0.57860444999999938</v>
      </c>
      <c r="M24" s="4">
        <f t="shared" si="47"/>
        <v>0.81122008852861471</v>
      </c>
      <c r="N24" s="6">
        <v>57.6</v>
      </c>
    </row>
    <row r="25" spans="2:15" x14ac:dyDescent="0.25">
      <c r="B25" s="6">
        <v>0.313</v>
      </c>
      <c r="C25" s="11" t="s">
        <v>54</v>
      </c>
      <c r="D25" s="4" t="str">
        <f t="shared" si="42"/>
        <v>5,_12</v>
      </c>
      <c r="E25" s="7">
        <v>5.0129000000000001</v>
      </c>
      <c r="F25" s="7">
        <v>1.2129000000000001</v>
      </c>
      <c r="G25" s="7">
        <v>12.028</v>
      </c>
      <c r="H25" s="7">
        <v>0.41510000000000002</v>
      </c>
      <c r="I25" s="4">
        <f t="shared" si="43"/>
        <v>2.3994095234295516</v>
      </c>
      <c r="J25" s="4">
        <f t="shared" si="44"/>
        <v>6.0801464100000002</v>
      </c>
      <c r="K25" s="4">
        <f t="shared" si="45"/>
        <v>4.9928228000000008</v>
      </c>
      <c r="L25" s="4">
        <f t="shared" si="46"/>
        <v>1.0873236099999994</v>
      </c>
      <c r="M25" s="4">
        <f t="shared" si="47"/>
        <v>0.82116818631017152</v>
      </c>
      <c r="N25" s="6">
        <v>28.8</v>
      </c>
    </row>
    <row r="26" spans="2:15" x14ac:dyDescent="0.25">
      <c r="B26" s="6">
        <v>0.317</v>
      </c>
      <c r="C26" s="11" t="s">
        <v>54</v>
      </c>
      <c r="D26" s="4" t="str">
        <f t="shared" si="42"/>
        <v>5,_12</v>
      </c>
      <c r="E26" s="7">
        <v>5.0060000000000002</v>
      </c>
      <c r="F26" s="7">
        <v>1.8381000000000001</v>
      </c>
      <c r="G26" s="7">
        <v>12.031499999999999</v>
      </c>
      <c r="H26" s="7">
        <v>0.62334000000000001</v>
      </c>
      <c r="I26" s="4">
        <f t="shared" si="43"/>
        <v>2.4034159009188971</v>
      </c>
      <c r="J26" s="4">
        <f t="shared" si="44"/>
        <v>9.2015286000000014</v>
      </c>
      <c r="K26" s="4">
        <f t="shared" si="45"/>
        <v>7.4997152099999997</v>
      </c>
      <c r="L26" s="4">
        <f t="shared" si="46"/>
        <v>1.7018133900000016</v>
      </c>
      <c r="M26" s="4">
        <f t="shared" si="47"/>
        <v>0.81505101337184327</v>
      </c>
      <c r="N26" s="6">
        <v>19.2</v>
      </c>
    </row>
    <row r="27" spans="2:15" x14ac:dyDescent="0.25">
      <c r="B27" s="6">
        <v>0.32</v>
      </c>
      <c r="C27" s="11" t="s">
        <v>54</v>
      </c>
      <c r="D27" s="4" t="str">
        <f t="shared" si="42"/>
        <v>5,_12</v>
      </c>
      <c r="E27" s="7">
        <v>5.0097800000000001</v>
      </c>
      <c r="F27" s="7">
        <v>2.4702999999999999</v>
      </c>
      <c r="G27" s="7">
        <v>12.034000000000001</v>
      </c>
      <c r="H27" s="7">
        <v>0.82857999999999998</v>
      </c>
      <c r="I27" s="4">
        <f t="shared" si="43"/>
        <v>2.4021014894865642</v>
      </c>
      <c r="J27" s="4">
        <f t="shared" si="44"/>
        <v>12.375659534</v>
      </c>
      <c r="K27" s="4">
        <f t="shared" si="45"/>
        <v>9.9711317200000007</v>
      </c>
      <c r="L27" s="4">
        <f t="shared" si="46"/>
        <v>2.4045278139999997</v>
      </c>
      <c r="M27" s="4">
        <f t="shared" si="47"/>
        <v>0.80570507718041429</v>
      </c>
      <c r="N27" s="6">
        <v>14.4</v>
      </c>
    </row>
    <row r="28" spans="2:15" x14ac:dyDescent="0.25">
      <c r="B28" s="6">
        <v>0.33500000000000002</v>
      </c>
      <c r="C28" s="11" t="s">
        <v>54</v>
      </c>
      <c r="D28" s="4" t="str">
        <f t="shared" si="42"/>
        <v>5,_12</v>
      </c>
      <c r="E28" s="7">
        <v>5.0038</v>
      </c>
      <c r="F28" s="7">
        <v>5.8109999999999999</v>
      </c>
      <c r="G28" s="7">
        <v>12.06</v>
      </c>
      <c r="H28" s="7">
        <v>1.7957000000000001</v>
      </c>
      <c r="I28" s="4">
        <f t="shared" si="43"/>
        <v>2.4101682721131938</v>
      </c>
      <c r="J28" s="4">
        <f t="shared" si="44"/>
        <v>29.077081799999998</v>
      </c>
      <c r="K28" s="4">
        <f t="shared" si="45"/>
        <v>21.656142000000003</v>
      </c>
      <c r="L28" s="4">
        <f t="shared" si="46"/>
        <v>7.4209397999999958</v>
      </c>
      <c r="M28" s="4">
        <f t="shared" si="47"/>
        <v>0.74478388680668783</v>
      </c>
      <c r="N28" s="6">
        <v>6.6</v>
      </c>
    </row>
    <row r="29" spans="2:15" x14ac:dyDescent="0.25">
      <c r="C29" s="11"/>
      <c r="D29" s="4"/>
      <c r="E29" s="7"/>
      <c r="F29" s="7"/>
      <c r="G29" s="7"/>
      <c r="H29" s="7"/>
      <c r="I29" s="4"/>
      <c r="J29" s="4"/>
      <c r="K29" s="4"/>
      <c r="L29" s="4"/>
      <c r="M29" s="4"/>
    </row>
    <row r="30" spans="2:15" x14ac:dyDescent="0.25">
      <c r="B30" s="6">
        <v>0.17799999999999999</v>
      </c>
      <c r="C30" s="11" t="s">
        <v>53</v>
      </c>
      <c r="D30" s="4" t="str">
        <f t="shared" ref="D30:D35" si="48">TEXT(ROUND(E30,3),"#,#")&amp;"_"&amp;TEXT(G30,"0")</f>
        <v>5,_24</v>
      </c>
      <c r="E30" s="7">
        <v>5.0090000000000003</v>
      </c>
      <c r="F30" s="7">
        <v>0.31900000000000001</v>
      </c>
      <c r="G30" s="7">
        <v>24</v>
      </c>
      <c r="H30" s="7">
        <v>4.7699999999999999E-2</v>
      </c>
      <c r="I30" s="4">
        <f t="shared" ref="I30:I35" si="49">G30/E30</f>
        <v>4.791375524056698</v>
      </c>
      <c r="J30" s="4">
        <f t="shared" ref="J30:J35" si="50">F30*E30</f>
        <v>1.597871</v>
      </c>
      <c r="K30" s="4">
        <f t="shared" ref="K30:K35" si="51">H30*G30</f>
        <v>1.1448</v>
      </c>
      <c r="L30" s="4">
        <f t="shared" ref="L30:L35" si="52">J30-K30</f>
        <v>0.453071</v>
      </c>
      <c r="M30" s="4">
        <f t="shared" ref="M30:M35" si="53">K30/J30</f>
        <v>0.71645333071318018</v>
      </c>
      <c r="N30" s="6">
        <v>500</v>
      </c>
      <c r="O30" s="12" t="str">
        <f>C30&amp;"_"&amp;TEXT(B30,"0,####")&amp;"_"&amp;TEXT(ROUND(E30,3),"#,#")&amp;"_"&amp;TEXT(G30,"0")&amp;"_"&amp;TEXT(ROUND(K30,1),"0,##")</f>
        <v>dcm_0,178_5,_24_1,1</v>
      </c>
    </row>
    <row r="31" spans="2:15" x14ac:dyDescent="0.25">
      <c r="B31" s="6">
        <v>0.28799999999999998</v>
      </c>
      <c r="C31" s="11" t="s">
        <v>53</v>
      </c>
      <c r="D31" s="4" t="str">
        <f t="shared" si="48"/>
        <v>5,_24</v>
      </c>
      <c r="E31" s="7">
        <v>5.0122999999999998</v>
      </c>
      <c r="F31" s="7">
        <v>0.62</v>
      </c>
      <c r="G31" s="7">
        <v>24.03</v>
      </c>
      <c r="H31" s="7">
        <v>9.6000000000000002E-2</v>
      </c>
      <c r="I31" s="4">
        <f t="shared" si="49"/>
        <v>4.7942062526185589</v>
      </c>
      <c r="J31" s="4">
        <f t="shared" si="50"/>
        <v>3.1076259999999998</v>
      </c>
      <c r="K31" s="4">
        <f t="shared" si="51"/>
        <v>2.30688</v>
      </c>
      <c r="L31" s="4">
        <f t="shared" si="52"/>
        <v>0.80074599999999974</v>
      </c>
      <c r="M31" s="4">
        <f t="shared" si="53"/>
        <v>0.7423287100828736</v>
      </c>
      <c r="N31" s="6">
        <v>230</v>
      </c>
    </row>
    <row r="32" spans="2:15" x14ac:dyDescent="0.25">
      <c r="B32" s="6">
        <v>0.40100000000000002</v>
      </c>
      <c r="C32" s="11" t="s">
        <v>54</v>
      </c>
      <c r="D32" s="4" t="str">
        <f t="shared" si="48"/>
        <v>5,_24</v>
      </c>
      <c r="E32" s="7">
        <v>5.0049000000000001</v>
      </c>
      <c r="F32" s="7">
        <v>1.3528800000000001</v>
      </c>
      <c r="G32" s="7">
        <v>24.082000000000001</v>
      </c>
      <c r="H32" s="7">
        <v>0.2092</v>
      </c>
      <c r="I32" s="4">
        <f t="shared" si="49"/>
        <v>4.811684549141841</v>
      </c>
      <c r="J32" s="4">
        <f t="shared" si="50"/>
        <v>6.7710291120000008</v>
      </c>
      <c r="K32" s="4">
        <f t="shared" si="51"/>
        <v>5.0379544000000003</v>
      </c>
      <c r="L32" s="4">
        <f t="shared" si="52"/>
        <v>1.7330747120000005</v>
      </c>
      <c r="M32" s="4">
        <f t="shared" si="53"/>
        <v>0.74404559730387998</v>
      </c>
      <c r="N32" s="6">
        <v>115</v>
      </c>
      <c r="O32" s="12" t="str">
        <f>C32&amp;"_"&amp;TEXT(B32,"0,####")&amp;"_"&amp;TEXT(ROUND(E32,3),"#,#")&amp;"_"&amp;TEXT(G32,"0")&amp;"_"&amp;TEXT(ROUND(K32,1),"0,#")</f>
        <v>ccm_0,401_5,_24_5,</v>
      </c>
    </row>
    <row r="33" spans="2:16" x14ac:dyDescent="0.25">
      <c r="B33" s="6">
        <v>0.4032</v>
      </c>
      <c r="C33" s="11" t="s">
        <v>54</v>
      </c>
      <c r="D33" s="4" t="str">
        <f t="shared" si="48"/>
        <v>5,_24</v>
      </c>
      <c r="E33" s="7">
        <v>5.0057999999999998</v>
      </c>
      <c r="F33" s="7">
        <v>2</v>
      </c>
      <c r="G33" s="7">
        <v>24.018999999999998</v>
      </c>
      <c r="H33" s="7">
        <v>0.31559999999999999</v>
      </c>
      <c r="I33" s="4">
        <f t="shared" si="49"/>
        <v>4.7982340485037351</v>
      </c>
      <c r="J33" s="4">
        <f t="shared" si="50"/>
        <v>10.0116</v>
      </c>
      <c r="K33" s="4">
        <f t="shared" si="51"/>
        <v>7.5803963999999997</v>
      </c>
      <c r="L33" s="4">
        <f t="shared" si="52"/>
        <v>2.4312035999999999</v>
      </c>
      <c r="M33" s="4">
        <f t="shared" si="53"/>
        <v>0.75716133285388953</v>
      </c>
      <c r="N33" s="6">
        <v>76</v>
      </c>
    </row>
    <row r="34" spans="2:16" x14ac:dyDescent="0.25">
      <c r="B34" s="6">
        <v>0.40510000000000002</v>
      </c>
      <c r="C34" s="11" t="s">
        <v>54</v>
      </c>
      <c r="D34" s="4" t="str">
        <f t="shared" si="48"/>
        <v>5,_24</v>
      </c>
      <c r="E34" s="7">
        <v>5.0063000000000004</v>
      </c>
      <c r="F34" s="7">
        <v>2.6238000000000001</v>
      </c>
      <c r="G34" s="7">
        <v>24.029</v>
      </c>
      <c r="H34" s="7">
        <v>0.4138</v>
      </c>
      <c r="I34" s="4">
        <f t="shared" si="49"/>
        <v>4.7997523120867704</v>
      </c>
      <c r="J34" s="4">
        <f t="shared" si="50"/>
        <v>13.135529940000001</v>
      </c>
      <c r="K34" s="4">
        <f t="shared" si="51"/>
        <v>9.9432001999999997</v>
      </c>
      <c r="L34" s="4">
        <f t="shared" si="52"/>
        <v>3.1923297400000017</v>
      </c>
      <c r="M34" s="4">
        <f t="shared" si="53"/>
        <v>0.75696985545449558</v>
      </c>
      <c r="N34" s="6">
        <v>58</v>
      </c>
    </row>
    <row r="35" spans="2:16" x14ac:dyDescent="0.25">
      <c r="B35" s="6">
        <v>0.41149999999999998</v>
      </c>
      <c r="C35" s="11" t="s">
        <v>54</v>
      </c>
      <c r="D35" s="4" t="str">
        <f t="shared" si="48"/>
        <v>5,_24</v>
      </c>
      <c r="E35" s="7">
        <v>5.0054999999999996</v>
      </c>
      <c r="F35" s="7">
        <v>5.5039999999999996</v>
      </c>
      <c r="G35" s="7">
        <v>24.068000000000001</v>
      </c>
      <c r="H35" s="7">
        <v>0.82879999999999998</v>
      </c>
      <c r="I35" s="4">
        <f t="shared" si="49"/>
        <v>4.8083108580561387</v>
      </c>
      <c r="J35" s="4">
        <f t="shared" si="50"/>
        <v>27.550271999999996</v>
      </c>
      <c r="K35" s="4">
        <f t="shared" si="51"/>
        <v>19.947558400000002</v>
      </c>
      <c r="L35" s="4">
        <f t="shared" si="52"/>
        <v>7.6027135999999942</v>
      </c>
      <c r="M35" s="4">
        <f t="shared" si="53"/>
        <v>0.7240421582770582</v>
      </c>
      <c r="N35" s="6">
        <v>29</v>
      </c>
    </row>
    <row r="36" spans="2:16" x14ac:dyDescent="0.25">
      <c r="C36" s="11"/>
      <c r="D36" s="4"/>
      <c r="E36" s="7"/>
      <c r="F36" s="7"/>
      <c r="G36" s="7"/>
      <c r="H36" s="7"/>
      <c r="I36" s="4"/>
      <c r="J36" s="4"/>
      <c r="K36" s="4"/>
      <c r="L36" s="4"/>
      <c r="M36" s="4"/>
    </row>
    <row r="37" spans="2:16" x14ac:dyDescent="0.25">
      <c r="B37" s="6">
        <v>0.2291</v>
      </c>
      <c r="C37" s="11" t="s">
        <v>53</v>
      </c>
      <c r="D37" s="4" t="str">
        <f>TEXT(ROUND(E37,3),"#,#")&amp;"_"&amp;TEXT(G37,"0")</f>
        <v>5,_48</v>
      </c>
      <c r="E37" s="7">
        <v>5.0042</v>
      </c>
      <c r="F37" s="7">
        <v>0.81430000000000002</v>
      </c>
      <c r="G37" s="7">
        <v>48.033999999999999</v>
      </c>
      <c r="H37" s="7">
        <v>4.8322999999999998E-2</v>
      </c>
      <c r="I37" s="4">
        <f>G37/E37</f>
        <v>9.5987370608688707</v>
      </c>
      <c r="J37" s="4">
        <f>F37*E37</f>
        <v>4.0749200600000002</v>
      </c>
      <c r="K37" s="4">
        <f>H37*G37</f>
        <v>2.3211469819999997</v>
      </c>
      <c r="L37" s="4">
        <f>J37-K37</f>
        <v>1.7537730780000005</v>
      </c>
      <c r="M37" s="4">
        <f>K37/J37</f>
        <v>0.56961779564333337</v>
      </c>
      <c r="N37" s="6">
        <v>1000</v>
      </c>
      <c r="O37" s="12" t="str">
        <f>C37&amp;"_"&amp;TEXT(B37,"0,####")&amp;"_"&amp;TEXT(ROUND(E37,3),"#,#")&amp;"_"&amp;TEXT(G37,"0")&amp;"_"&amp;TEXT(ROUND(K37,1),"0,#")</f>
        <v>dcm_0,2291_5,_48_2,3</v>
      </c>
      <c r="P37" t="s">
        <v>77</v>
      </c>
    </row>
    <row r="38" spans="2:16" x14ac:dyDescent="0.25">
      <c r="B38" s="6">
        <v>0.37109999999999999</v>
      </c>
      <c r="C38" s="11" t="s">
        <v>53</v>
      </c>
      <c r="D38" s="4" t="str">
        <f>TEXT(ROUND(E38,3),"#,#")&amp;"_"&amp;TEXT(G38,"0")</f>
        <v>5,_48</v>
      </c>
      <c r="E38" s="7">
        <v>5.0039999999999996</v>
      </c>
      <c r="F38" s="7">
        <v>1.778</v>
      </c>
      <c r="G38" s="7">
        <v>48.02</v>
      </c>
      <c r="H38" s="7">
        <v>0.10397000000000001</v>
      </c>
      <c r="I38" s="4">
        <f>G38/E38</f>
        <v>9.5963229416466849</v>
      </c>
      <c r="J38" s="4">
        <f>F38*E38</f>
        <v>8.8971119999999999</v>
      </c>
      <c r="K38" s="4">
        <f>H38*G38</f>
        <v>4.9926394000000007</v>
      </c>
      <c r="L38" s="4">
        <f>J38-K38</f>
        <v>3.9044725999999992</v>
      </c>
      <c r="M38" s="4">
        <f>K38/J38</f>
        <v>0.56115281003543627</v>
      </c>
      <c r="N38" s="6">
        <v>460</v>
      </c>
    </row>
    <row r="39" spans="2:16" x14ac:dyDescent="0.25">
      <c r="B39" s="6">
        <v>0.44529999999999997</v>
      </c>
      <c r="C39" s="11" t="s">
        <v>54</v>
      </c>
      <c r="D39" s="4" t="str">
        <f>TEXT(ROUND(E39,3),"#,#")&amp;"_"&amp;TEXT(G39,"0")</f>
        <v>5,_48</v>
      </c>
      <c r="E39" s="7">
        <v>5.0096999999999996</v>
      </c>
      <c r="F39" s="7">
        <v>2.4887999999999999</v>
      </c>
      <c r="G39" s="7">
        <v>48.061999999999998</v>
      </c>
      <c r="H39" s="7">
        <v>0.15589</v>
      </c>
      <c r="I39" s="4">
        <f>G39/E39</f>
        <v>9.5937880511807094</v>
      </c>
      <c r="J39" s="4">
        <f>F39*E39</f>
        <v>12.468141359999999</v>
      </c>
      <c r="K39" s="4">
        <f>H39*G39</f>
        <v>7.4923851799999994</v>
      </c>
      <c r="L39" s="4">
        <f>J39-K39</f>
        <v>4.9757561799999994</v>
      </c>
      <c r="M39" s="4">
        <f>K39/J39</f>
        <v>0.60092237998174258</v>
      </c>
      <c r="N39" s="6">
        <v>307</v>
      </c>
    </row>
    <row r="40" spans="2:16" x14ac:dyDescent="0.25">
      <c r="B40" s="6">
        <v>0.44700000000000001</v>
      </c>
      <c r="C40" s="11" t="s">
        <v>54</v>
      </c>
      <c r="D40" s="4" t="str">
        <f>TEXT(ROUND(E40,3),"#,#")&amp;"_"&amp;TEXT(G40,"0")</f>
        <v>5,_48</v>
      </c>
      <c r="E40" s="7">
        <v>5.0030000000000001</v>
      </c>
      <c r="F40" s="7">
        <v>3.2254</v>
      </c>
      <c r="G40" s="7">
        <v>48.057000000000002</v>
      </c>
      <c r="H40" s="7">
        <v>0.20777000000000001</v>
      </c>
      <c r="I40" s="4">
        <f>G40/E40</f>
        <v>9.6056366180291821</v>
      </c>
      <c r="J40" s="4">
        <f>F40*E40</f>
        <v>16.1366762</v>
      </c>
      <c r="K40" s="4">
        <f>H40*G40</f>
        <v>9.984802890000001</v>
      </c>
      <c r="L40" s="4">
        <f>J40-K40</f>
        <v>6.1518733099999992</v>
      </c>
      <c r="M40" s="4">
        <f>K40/J40</f>
        <v>0.61876453157063416</v>
      </c>
      <c r="N40" s="6">
        <v>230</v>
      </c>
    </row>
    <row r="41" spans="2:16" x14ac:dyDescent="0.25">
      <c r="B41" s="6">
        <v>0.45040000000000002</v>
      </c>
      <c r="C41" s="11" t="s">
        <v>54</v>
      </c>
      <c r="D41" s="4" t="str">
        <f>TEXT(ROUND(E41,3),"#,#")&amp;"_"&amp;TEXT(G41,"0")</f>
        <v>5,_48</v>
      </c>
      <c r="E41" s="7">
        <v>5.0019999999999998</v>
      </c>
      <c r="F41" s="7">
        <v>6.0830000000000002</v>
      </c>
      <c r="G41" s="7">
        <v>48.01</v>
      </c>
      <c r="H41" s="7">
        <v>0.39903</v>
      </c>
      <c r="I41" s="4">
        <f>G41/E41</f>
        <v>9.5981607357057186</v>
      </c>
      <c r="J41" s="4">
        <f>F41*E41</f>
        <v>30.427166</v>
      </c>
      <c r="K41" s="4">
        <f>H41*G41</f>
        <v>19.157430299999998</v>
      </c>
      <c r="L41" s="4">
        <f>J41-K41</f>
        <v>11.269735700000002</v>
      </c>
      <c r="M41" s="4">
        <f>K41/J41</f>
        <v>0.62961599184097516</v>
      </c>
      <c r="N41" s="6">
        <v>120</v>
      </c>
      <c r="O41" s="12" t="str">
        <f>C41&amp;"_"&amp;TEXT(B41,"0,####")&amp;"_"&amp;TEXT(ROUND(E41,3),"#,#")&amp;"_"&amp;TEXT(G41,"0")&amp;"_"&amp;TEXT(ROUND(K41,1),"0,#")</f>
        <v>ccm_0,4504_5,_48_19,2</v>
      </c>
    </row>
    <row r="43" spans="2:16" x14ac:dyDescent="0.25">
      <c r="B43" s="6">
        <v>4.9299999999999997E-2</v>
      </c>
      <c r="C43" s="11" t="s">
        <v>53</v>
      </c>
      <c r="D43" s="4" t="str">
        <f t="shared" ref="D43:D48" si="54">TEXT(ROUND(E43,3),"#,#")&amp;"_"&amp;TEXT(G43,"0")</f>
        <v>12,_24</v>
      </c>
      <c r="E43" s="7">
        <v>12.005000000000001</v>
      </c>
      <c r="F43" s="7">
        <v>7.3249999999999996E-2</v>
      </c>
      <c r="G43" s="7">
        <v>24.023</v>
      </c>
      <c r="H43" s="7">
        <v>2.4199999999999999E-2</v>
      </c>
      <c r="I43" s="4">
        <f>G43/E43</f>
        <v>2.0010828821324447</v>
      </c>
      <c r="J43" s="4">
        <f t="shared" ref="J43:J48" si="55">F43*E43</f>
        <v>0.87936625000000002</v>
      </c>
      <c r="K43" s="4">
        <f t="shared" ref="K43:K48" si="56">H43*G43</f>
        <v>0.5813566</v>
      </c>
      <c r="L43" s="4">
        <f t="shared" ref="L43:L48" si="57">J43-K43</f>
        <v>0.29800965000000001</v>
      </c>
      <c r="M43" s="4">
        <f t="shared" ref="M43:M48" si="58">K43/J43</f>
        <v>0.66110861088880768</v>
      </c>
      <c r="N43" s="6">
        <v>1000</v>
      </c>
      <c r="O43" s="12" t="str">
        <f>C43&amp;"_"&amp;TEXT(B43,"0,####")&amp;"_"&amp;TEXT(ROUND(E43,3),"#,#")&amp;"_"&amp;TEXT(G43,"0")&amp;"_"&amp;TEXT(ROUND(K43,1),"0,#")</f>
        <v>dcm_0,0493_12,_24_0,6</v>
      </c>
      <c r="P43" t="s">
        <v>77</v>
      </c>
    </row>
    <row r="44" spans="2:16" x14ac:dyDescent="0.25">
      <c r="B44" s="6">
        <v>6.9000000000000006E-2</v>
      </c>
      <c r="C44" s="11" t="s">
        <v>53</v>
      </c>
      <c r="D44" s="4" t="str">
        <f t="shared" si="54"/>
        <v>12,_24</v>
      </c>
      <c r="E44" s="7">
        <v>12.002800000000001</v>
      </c>
      <c r="F44" s="7">
        <v>0.14299999999999999</v>
      </c>
      <c r="G44" s="7">
        <v>24.05</v>
      </c>
      <c r="H44" s="7">
        <v>5.985E-2</v>
      </c>
      <c r="I44" s="4">
        <f t="shared" ref="I44:I48" si="59">G44/E44</f>
        <v>2.0036991368680641</v>
      </c>
      <c r="J44" s="4">
        <f t="shared" si="55"/>
        <v>1.7164003999999999</v>
      </c>
      <c r="K44" s="4">
        <f t="shared" si="56"/>
        <v>1.4393925000000001</v>
      </c>
      <c r="L44" s="4">
        <f t="shared" si="57"/>
        <v>0.27700789999999986</v>
      </c>
      <c r="M44" s="4">
        <f t="shared" si="58"/>
        <v>0.83861114224862687</v>
      </c>
      <c r="N44" s="6">
        <v>400</v>
      </c>
    </row>
    <row r="45" spans="2:16" x14ac:dyDescent="0.25">
      <c r="B45" s="6">
        <v>0.10780000000000001</v>
      </c>
      <c r="C45" s="11" t="s">
        <v>53</v>
      </c>
      <c r="D45" s="4" t="str">
        <f t="shared" si="54"/>
        <v>12,_24</v>
      </c>
      <c r="E45" s="7">
        <v>12.000999999999999</v>
      </c>
      <c r="F45" s="7">
        <v>0.2387</v>
      </c>
      <c r="G45" s="7">
        <v>24.009</v>
      </c>
      <c r="H45" s="7">
        <v>0.10020999999999999</v>
      </c>
      <c r="I45" s="4">
        <f t="shared" si="59"/>
        <v>2.000583284726273</v>
      </c>
      <c r="J45" s="4">
        <f t="shared" si="55"/>
        <v>2.8646387</v>
      </c>
      <c r="K45" s="4">
        <f t="shared" si="56"/>
        <v>2.4059418899999998</v>
      </c>
      <c r="L45" s="4">
        <f t="shared" si="57"/>
        <v>0.45869681000000018</v>
      </c>
      <c r="M45" s="4">
        <f t="shared" si="58"/>
        <v>0.83987620847264255</v>
      </c>
      <c r="N45" s="6">
        <v>240</v>
      </c>
    </row>
    <row r="46" spans="2:16" x14ac:dyDescent="0.25">
      <c r="B46" s="6">
        <v>0.16139999999999999</v>
      </c>
      <c r="C46" s="11" t="s">
        <v>53</v>
      </c>
      <c r="D46" s="4" t="str">
        <f t="shared" si="54"/>
        <v>12,_24</v>
      </c>
      <c r="E46" s="7">
        <v>12.002000000000001</v>
      </c>
      <c r="F46" s="7">
        <v>0.47774</v>
      </c>
      <c r="G46" s="7">
        <v>24.023</v>
      </c>
      <c r="H46" s="7">
        <v>0.20871999999999999</v>
      </c>
      <c r="I46" s="4">
        <f t="shared" si="59"/>
        <v>2.0015830694884182</v>
      </c>
      <c r="J46" s="4">
        <f t="shared" si="55"/>
        <v>5.7338354800000007</v>
      </c>
      <c r="K46" s="4">
        <f t="shared" si="56"/>
        <v>5.01408056</v>
      </c>
      <c r="L46" s="4">
        <f t="shared" si="57"/>
        <v>0.71975492000000063</v>
      </c>
      <c r="M46" s="4">
        <f t="shared" si="58"/>
        <v>0.87447234534186524</v>
      </c>
      <c r="N46" s="6">
        <v>115</v>
      </c>
    </row>
    <row r="47" spans="2:16" x14ac:dyDescent="0.25">
      <c r="B47" s="6">
        <v>0.2077</v>
      </c>
      <c r="C47" s="11" t="s">
        <v>53</v>
      </c>
      <c r="D47" s="4" t="str">
        <f t="shared" si="54"/>
        <v>12,_24</v>
      </c>
      <c r="E47" s="7">
        <v>12.0078</v>
      </c>
      <c r="F47" s="7">
        <v>0.72053999999999996</v>
      </c>
      <c r="G47" s="7">
        <v>24.0185</v>
      </c>
      <c r="H47" s="7">
        <v>0.31572</v>
      </c>
      <c r="I47" s="4">
        <f t="shared" si="59"/>
        <v>2.0002415096853712</v>
      </c>
      <c r="J47" s="4">
        <f t="shared" si="55"/>
        <v>8.6521002119999988</v>
      </c>
      <c r="K47" s="4">
        <f t="shared" si="56"/>
        <v>7.5831208199999995</v>
      </c>
      <c r="L47" s="4">
        <f t="shared" si="57"/>
        <v>1.0689793919999993</v>
      </c>
      <c r="M47" s="4">
        <f t="shared" si="58"/>
        <v>0.87644856557285566</v>
      </c>
      <c r="N47" s="6">
        <v>76</v>
      </c>
      <c r="O47" s="12" t="str">
        <f>C47&amp;"_"&amp;TEXT(B47,"0,####")&amp;"_"&amp;TEXT(ROUND(E47,3),"#,#")&amp;"_"&amp;TEXT(G47,"0")&amp;"_"&amp;TEXT(ROUND(K47,1),"0,#")</f>
        <v>dcm_0,2077_12,_24_7,6</v>
      </c>
    </row>
    <row r="48" spans="2:16" x14ac:dyDescent="0.25">
      <c r="B48" s="6">
        <v>0.25219999999999998</v>
      </c>
      <c r="C48" s="11" t="s">
        <v>54</v>
      </c>
      <c r="D48" s="4" t="str">
        <f t="shared" si="54"/>
        <v>12,_24</v>
      </c>
      <c r="E48" s="7">
        <v>12.0076</v>
      </c>
      <c r="F48" s="7">
        <v>0.92998999999999998</v>
      </c>
      <c r="G48" s="7">
        <v>24.013000000000002</v>
      </c>
      <c r="H48" s="7">
        <v>0.41388999999999998</v>
      </c>
      <c r="I48" s="4">
        <f t="shared" si="59"/>
        <v>1.9998167827042874</v>
      </c>
      <c r="J48" s="4">
        <f t="shared" si="55"/>
        <v>11.166947924</v>
      </c>
      <c r="K48" s="4">
        <f t="shared" si="56"/>
        <v>9.9387405700000002</v>
      </c>
      <c r="L48" s="4">
        <f t="shared" si="57"/>
        <v>1.2282073540000003</v>
      </c>
      <c r="M48" s="4">
        <f t="shared" si="58"/>
        <v>0.89001405197203998</v>
      </c>
      <c r="N48" s="6">
        <v>58</v>
      </c>
    </row>
    <row r="49" spans="2:16" x14ac:dyDescent="0.25">
      <c r="B49" s="6">
        <v>0.25979999999999998</v>
      </c>
      <c r="C49" s="11" t="s">
        <v>54</v>
      </c>
      <c r="D49" s="4" t="str">
        <f t="shared" ref="D49" si="60">TEXT(ROUND(E49,3),"#,#")&amp;"_"&amp;TEXT(G49,"0")</f>
        <v>12,_24</v>
      </c>
      <c r="E49" s="7">
        <v>12</v>
      </c>
      <c r="F49" s="7">
        <v>1.9116</v>
      </c>
      <c r="G49" s="7">
        <v>24.015999999999998</v>
      </c>
      <c r="H49" s="7">
        <v>0.85516000000000003</v>
      </c>
      <c r="I49" s="4">
        <f t="shared" ref="I49:I50" si="61">G49/E49</f>
        <v>2.0013333333333332</v>
      </c>
      <c r="J49" s="4">
        <f t="shared" ref="J49:J50" si="62">F49*E49</f>
        <v>22.9392</v>
      </c>
      <c r="K49" s="4">
        <f t="shared" ref="K49:K50" si="63">H49*G49</f>
        <v>20.537522559999999</v>
      </c>
      <c r="L49" s="4">
        <f t="shared" ref="L49:L50" si="64">J49-K49</f>
        <v>2.4016774400000003</v>
      </c>
      <c r="M49" s="4">
        <f t="shared" ref="M49:M50" si="65">K49/J49</f>
        <v>0.8953024761107623</v>
      </c>
      <c r="N49" s="6">
        <v>28</v>
      </c>
    </row>
    <row r="50" spans="2:16" x14ac:dyDescent="0.25">
      <c r="B50" s="18">
        <v>0.26300000000000001</v>
      </c>
      <c r="C50" s="19" t="s">
        <v>54</v>
      </c>
      <c r="D50" s="20" t="str">
        <f>TEXT(ROUND(E50,3),"#,#")&amp;"_"&amp;TEXT(G50,"0")</f>
        <v>12,_24</v>
      </c>
      <c r="E50" s="21">
        <v>12.0039</v>
      </c>
      <c r="F50" s="21">
        <v>2.6869900000000002</v>
      </c>
      <c r="G50" s="21">
        <v>24.07</v>
      </c>
      <c r="H50" s="21">
        <v>1.19234</v>
      </c>
      <c r="I50" s="20">
        <f t="shared" si="61"/>
        <v>2.0051816492973118</v>
      </c>
      <c r="J50" s="20">
        <f t="shared" si="62"/>
        <v>32.254359261000005</v>
      </c>
      <c r="K50" s="20">
        <f t="shared" si="63"/>
        <v>28.699623799999998</v>
      </c>
      <c r="L50" s="20">
        <f t="shared" si="64"/>
        <v>3.554735461000007</v>
      </c>
      <c r="M50" s="20">
        <f t="shared" si="65"/>
        <v>0.88979054173002359</v>
      </c>
      <c r="N50" s="18">
        <v>20</v>
      </c>
      <c r="O50" s="12" t="str">
        <f>C50&amp;"_"&amp;TEXT(B50,"0,####")&amp;"_"&amp;TEXT(ROUND(E50,3),"#,#")&amp;"_"&amp;TEXT(G50,"0")&amp;"_"&amp;TEXT(ROUND(K50,1),"0,##")</f>
        <v>ccm_0,263_12,_24_28,7</v>
      </c>
      <c r="P50" s="16" t="s">
        <v>90</v>
      </c>
    </row>
    <row r="51" spans="2:16" x14ac:dyDescent="0.25">
      <c r="B51" s="6">
        <v>0.26219999999999999</v>
      </c>
      <c r="C51" s="11" t="s">
        <v>54</v>
      </c>
      <c r="D51" s="4" t="str">
        <f t="shared" ref="D51" si="66">TEXT(ROUND(E51,3),"#,#")&amp;"_"&amp;TEXT(G51,"0")</f>
        <v>12,_24</v>
      </c>
      <c r="E51" s="7">
        <v>12.007400000000001</v>
      </c>
      <c r="F51" s="7">
        <v>2.8157000000000001</v>
      </c>
      <c r="G51" s="7">
        <v>24.02</v>
      </c>
      <c r="H51" s="7">
        <v>1.2578</v>
      </c>
      <c r="I51" s="4">
        <f t="shared" ref="I51" si="67">G51/E51</f>
        <v>2.0004330662757965</v>
      </c>
      <c r="J51" s="4">
        <f t="shared" ref="J51" si="68">F51*E51</f>
        <v>33.809236179999999</v>
      </c>
      <c r="K51" s="4">
        <f t="shared" ref="K51" si="69">H51*G51</f>
        <v>30.212356</v>
      </c>
      <c r="L51" s="4">
        <f t="shared" ref="L51" si="70">J51-K51</f>
        <v>3.5968801799999994</v>
      </c>
      <c r="M51" s="4">
        <f t="shared" ref="M51" si="71">K51/J51</f>
        <v>0.8936124980508211</v>
      </c>
      <c r="N51" s="6">
        <v>19</v>
      </c>
    </row>
    <row r="52" spans="2:16" x14ac:dyDescent="0.25">
      <c r="B52" s="6">
        <v>0.26640000000000003</v>
      </c>
      <c r="C52" s="11" t="s">
        <v>54</v>
      </c>
      <c r="D52" s="4" t="str">
        <f t="shared" ref="D52" si="72">TEXT(ROUND(E52,3),"#,#")&amp;"_"&amp;TEXT(G52,"0")</f>
        <v>12,_24</v>
      </c>
      <c r="E52" s="7">
        <v>12.0015</v>
      </c>
      <c r="F52" s="7">
        <v>4.4957000000000003</v>
      </c>
      <c r="G52" s="7">
        <v>24.015999999999998</v>
      </c>
      <c r="H52" s="7">
        <v>1.98455</v>
      </c>
      <c r="I52" s="4">
        <f t="shared" ref="I52" si="73">G52/E52</f>
        <v>2.0010831979335917</v>
      </c>
      <c r="J52" s="4">
        <f t="shared" ref="J52" si="74">F52*E52</f>
        <v>53.955143550000003</v>
      </c>
      <c r="K52" s="4">
        <f t="shared" ref="K52" si="75">H52*G52</f>
        <v>47.660952799999997</v>
      </c>
      <c r="L52" s="4">
        <f t="shared" ref="L52" si="76">J52-K52</f>
        <v>6.2941907500000056</v>
      </c>
      <c r="M52" s="4">
        <f t="shared" ref="M52" si="77">K52/J52</f>
        <v>0.88334400882156483</v>
      </c>
      <c r="N52" s="6">
        <v>12</v>
      </c>
    </row>
    <row r="53" spans="2:16" x14ac:dyDescent="0.25">
      <c r="B53" s="6">
        <v>0.26860000000000001</v>
      </c>
      <c r="C53" s="11" t="s">
        <v>54</v>
      </c>
      <c r="D53" s="4" t="str">
        <f t="shared" ref="D53" si="78">TEXT(ROUND(E53,3),"#,#")&amp;"_"&amp;TEXT(G53,"0")</f>
        <v>12,_24</v>
      </c>
      <c r="E53" s="7">
        <v>12.0032</v>
      </c>
      <c r="F53" s="7">
        <v>6.02705</v>
      </c>
      <c r="G53" s="7">
        <v>24.021999999999998</v>
      </c>
      <c r="H53" s="7">
        <v>2.6396000000000002</v>
      </c>
      <c r="I53" s="4">
        <f t="shared" ref="I53" si="79">G53/E53</f>
        <v>2.001299653425753</v>
      </c>
      <c r="J53" s="4">
        <f t="shared" ref="J53" si="80">F53*E53</f>
        <v>72.343886560000001</v>
      </c>
      <c r="K53" s="4">
        <f t="shared" ref="K53" si="81">H53*G53</f>
        <v>63.408471200000001</v>
      </c>
      <c r="L53" s="4">
        <f t="shared" ref="L53" si="82">J53-K53</f>
        <v>8.9354153600000004</v>
      </c>
      <c r="M53" s="4">
        <f t="shared" ref="M53" si="83">K53/J53</f>
        <v>0.87648693227741892</v>
      </c>
      <c r="N53" s="6">
        <v>9</v>
      </c>
      <c r="O53" s="12" t="str">
        <f>C53&amp;"_"&amp;TEXT(B53,"0,####")&amp;"_"&amp;TEXT(ROUND(E53,3),"#,#")&amp;"_"&amp;TEXT(G53,"0")&amp;"_"&amp;TEXT(ROUND(K53,1),"0,#")</f>
        <v>ccm_0,2686_12,_24_63,4</v>
      </c>
    </row>
    <row r="54" spans="2:16" x14ac:dyDescent="0.25">
      <c r="C54" s="11"/>
      <c r="D54" s="4"/>
      <c r="E54" s="7"/>
      <c r="F54" s="7"/>
      <c r="G54" s="7"/>
      <c r="H54" s="7"/>
      <c r="I54" s="4"/>
      <c r="J54" s="4"/>
      <c r="K54" s="4"/>
      <c r="L54" s="4"/>
      <c r="M54" s="4"/>
    </row>
    <row r="55" spans="2:16" x14ac:dyDescent="0.25">
      <c r="B55" s="6">
        <v>0.12089999999999999</v>
      </c>
      <c r="C55" s="11" t="s">
        <v>53</v>
      </c>
      <c r="D55" s="4" t="str">
        <f t="shared" ref="D55" si="84">TEXT(ROUND(E55,3),"#,#")&amp;"_"&amp;TEXT(G55,"0")</f>
        <v>12,_48</v>
      </c>
      <c r="E55" s="7">
        <v>12.003299999999999</v>
      </c>
      <c r="F55" s="7">
        <v>0.28315000000000001</v>
      </c>
      <c r="G55" s="7">
        <v>48.021000000000001</v>
      </c>
      <c r="H55" s="7">
        <v>4.8370000000000003E-2</v>
      </c>
      <c r="I55" s="4">
        <f t="shared" ref="I55:I61" si="85">G55/E55</f>
        <v>4.0006498212991426</v>
      </c>
      <c r="J55" s="4">
        <f t="shared" ref="J55" si="86">F55*E55</f>
        <v>3.398734395</v>
      </c>
      <c r="K55" s="4">
        <f t="shared" ref="K55" si="87">H55*G55</f>
        <v>2.3227757700000002</v>
      </c>
      <c r="L55" s="4">
        <f t="shared" ref="L55" si="88">J55-K55</f>
        <v>1.0759586249999997</v>
      </c>
      <c r="M55" s="4">
        <f t="shared" ref="M55" si="89">K55/J55</f>
        <v>0.68342373955938396</v>
      </c>
      <c r="N55" s="6">
        <v>1000</v>
      </c>
      <c r="P55" t="s">
        <v>77</v>
      </c>
    </row>
    <row r="56" spans="2:16" x14ac:dyDescent="0.25">
      <c r="B56" s="6">
        <v>0.17530000000000001</v>
      </c>
      <c r="C56" s="11" t="s">
        <v>53</v>
      </c>
      <c r="D56" s="4" t="str">
        <f t="shared" ref="D56:D61" si="90">TEXT(ROUND(E56,3),"#,#")&amp;"_"&amp;TEXT(G56,"0")</f>
        <v>12,_48</v>
      </c>
      <c r="E56" s="7">
        <v>12.021000000000001</v>
      </c>
      <c r="F56" s="7">
        <v>0.51500000000000001</v>
      </c>
      <c r="G56" s="7">
        <v>48</v>
      </c>
      <c r="H56" s="7">
        <v>0.10349999999999999</v>
      </c>
      <c r="I56" s="4">
        <f t="shared" si="85"/>
        <v>3.9930122285999499</v>
      </c>
      <c r="J56" s="4">
        <f t="shared" ref="J56:J61" si="91">F56*E56</f>
        <v>6.1908150000000006</v>
      </c>
      <c r="K56" s="4">
        <f t="shared" ref="K56:K61" si="92">H56*G56</f>
        <v>4.968</v>
      </c>
      <c r="L56" s="4">
        <f t="shared" ref="L56:L61" si="93">J56-K56</f>
        <v>1.2228150000000007</v>
      </c>
      <c r="M56" s="4">
        <f t="shared" ref="M56:M61" si="94">K56/J56</f>
        <v>0.80247915662154323</v>
      </c>
      <c r="N56" s="6">
        <v>450</v>
      </c>
    </row>
    <row r="57" spans="2:16" x14ac:dyDescent="0.25">
      <c r="B57" s="6">
        <v>0.2475</v>
      </c>
      <c r="C57" s="11" t="s">
        <v>53</v>
      </c>
      <c r="D57" s="4" t="str">
        <f t="shared" si="90"/>
        <v>12,_48</v>
      </c>
      <c r="E57" s="7">
        <v>12.007899999999999</v>
      </c>
      <c r="F57" s="7">
        <v>1.0379</v>
      </c>
      <c r="G57" s="7">
        <v>48.01</v>
      </c>
      <c r="H57" s="7">
        <v>0.20899999999999999</v>
      </c>
      <c r="I57" s="4">
        <f t="shared" si="85"/>
        <v>3.9982011842203882</v>
      </c>
      <c r="J57" s="4">
        <f t="shared" si="91"/>
        <v>12.46299941</v>
      </c>
      <c r="K57" s="4">
        <f t="shared" si="92"/>
        <v>10.034089999999999</v>
      </c>
      <c r="L57" s="4">
        <f t="shared" si="93"/>
        <v>2.428909410000001</v>
      </c>
      <c r="M57" s="4">
        <f t="shared" si="94"/>
        <v>0.80511036468066388</v>
      </c>
      <c r="N57" s="6">
        <v>230</v>
      </c>
    </row>
    <row r="58" spans="2:16" x14ac:dyDescent="0.25">
      <c r="B58" s="6">
        <v>0.31590000000000001</v>
      </c>
      <c r="C58" s="11" t="s">
        <v>53</v>
      </c>
      <c r="D58" s="4" t="str">
        <f t="shared" si="90"/>
        <v>12,_48</v>
      </c>
      <c r="E58" s="7">
        <v>12.008599999999999</v>
      </c>
      <c r="F58" s="7">
        <v>1.9308000000000001</v>
      </c>
      <c r="G58" s="7">
        <v>48.02</v>
      </c>
      <c r="H58" s="7">
        <v>0.40033000000000002</v>
      </c>
      <c r="I58" s="4">
        <f t="shared" si="85"/>
        <v>3.9988008593841085</v>
      </c>
      <c r="J58" s="4">
        <f t="shared" si="91"/>
        <v>23.186204879999998</v>
      </c>
      <c r="K58" s="4">
        <f t="shared" si="92"/>
        <v>19.223846600000002</v>
      </c>
      <c r="L58" s="4">
        <f t="shared" si="93"/>
        <v>3.9623582799999966</v>
      </c>
      <c r="M58" s="4">
        <f t="shared" si="94"/>
        <v>0.82910707895030056</v>
      </c>
      <c r="N58" s="6">
        <v>120</v>
      </c>
    </row>
    <row r="59" spans="2:16" x14ac:dyDescent="0.25">
      <c r="B59" s="6">
        <v>0.37409999999999999</v>
      </c>
      <c r="C59" s="11" t="s">
        <v>54</v>
      </c>
      <c r="D59" s="4" t="str">
        <f t="shared" si="90"/>
        <v>12,_48</v>
      </c>
      <c r="E59" s="7">
        <v>12.003500000000001</v>
      </c>
      <c r="F59" s="7">
        <v>2.9641999999999999</v>
      </c>
      <c r="G59" s="7">
        <v>48.008000000000003</v>
      </c>
      <c r="H59" s="7">
        <v>0.62160000000000004</v>
      </c>
      <c r="I59" s="4">
        <f t="shared" si="85"/>
        <v>3.9995001457908108</v>
      </c>
      <c r="J59" s="4">
        <f t="shared" si="91"/>
        <v>35.580774699999999</v>
      </c>
      <c r="K59" s="4">
        <f t="shared" si="92"/>
        <v>29.841772800000005</v>
      </c>
      <c r="L59" s="4">
        <f t="shared" si="93"/>
        <v>5.7390018999999945</v>
      </c>
      <c r="M59" s="4">
        <f t="shared" si="94"/>
        <v>0.83870497625786677</v>
      </c>
      <c r="N59" s="6">
        <v>77</v>
      </c>
    </row>
    <row r="60" spans="2:16" x14ac:dyDescent="0.25">
      <c r="B60" s="6">
        <v>0.3765</v>
      </c>
      <c r="C60" s="11" t="s">
        <v>54</v>
      </c>
      <c r="D60" s="4" t="str">
        <f t="shared" si="90"/>
        <v>12,_48</v>
      </c>
      <c r="E60" s="7">
        <v>12.001899999999999</v>
      </c>
      <c r="F60" s="7">
        <v>4.9195000000000002</v>
      </c>
      <c r="G60" s="7">
        <v>48.014000000000003</v>
      </c>
      <c r="H60" s="7">
        <v>1.0409200000000001</v>
      </c>
      <c r="I60" s="4">
        <f t="shared" si="85"/>
        <v>4.0005332489022578</v>
      </c>
      <c r="J60" s="4">
        <f t="shared" si="91"/>
        <v>59.043347050000001</v>
      </c>
      <c r="K60" s="4">
        <f t="shared" si="92"/>
        <v>49.97873288000001</v>
      </c>
      <c r="L60" s="4">
        <f t="shared" si="93"/>
        <v>9.0646141699999916</v>
      </c>
      <c r="M60" s="4">
        <f t="shared" si="94"/>
        <v>0.8464752656667015</v>
      </c>
      <c r="N60" s="6">
        <v>46</v>
      </c>
    </row>
    <row r="61" spans="2:16" x14ac:dyDescent="0.25">
      <c r="B61" s="6">
        <v>0.37769999999999998</v>
      </c>
      <c r="C61" s="11" t="s">
        <v>54</v>
      </c>
      <c r="D61" s="4" t="str">
        <f t="shared" si="90"/>
        <v>12,_48</v>
      </c>
      <c r="E61" s="7">
        <v>12.0061</v>
      </c>
      <c r="F61" s="7">
        <v>5.9812000000000003</v>
      </c>
      <c r="G61" s="7">
        <v>48.01</v>
      </c>
      <c r="H61" s="7">
        <v>1.26285</v>
      </c>
      <c r="I61" s="4">
        <f t="shared" si="85"/>
        <v>3.9988006096900741</v>
      </c>
      <c r="J61" s="4">
        <f t="shared" si="91"/>
        <v>71.810885319999997</v>
      </c>
      <c r="K61" s="4">
        <f t="shared" si="92"/>
        <v>60.629428499999996</v>
      </c>
      <c r="L61" s="4">
        <f t="shared" si="93"/>
        <v>11.181456820000001</v>
      </c>
      <c r="M61" s="4">
        <f t="shared" si="94"/>
        <v>0.84429300975508426</v>
      </c>
      <c r="N61" s="6">
        <v>38</v>
      </c>
    </row>
    <row r="63" spans="2:16" x14ac:dyDescent="0.25">
      <c r="B63" s="6">
        <v>4.3400000000000001E-2</v>
      </c>
      <c r="C63" s="11" t="s">
        <v>53</v>
      </c>
      <c r="D63" s="4" t="str">
        <f t="shared" ref="D63" si="95">TEXT(ROUND(E63,3),"#,#")&amp;"_"&amp;TEXT(G63,"0")</f>
        <v>24,_48</v>
      </c>
      <c r="E63" s="7">
        <v>24.015699999999999</v>
      </c>
      <c r="F63" s="7">
        <v>0.127635</v>
      </c>
      <c r="G63" s="7">
        <v>48.02</v>
      </c>
      <c r="H63" s="7">
        <v>4.8379999999999999E-2</v>
      </c>
      <c r="I63" s="4">
        <f t="shared" ref="I63:I70" si="96">G63/E63</f>
        <v>1.9995253105260311</v>
      </c>
      <c r="J63" s="4">
        <f t="shared" ref="J63" si="97">F63*E63</f>
        <v>3.0652438694999997</v>
      </c>
      <c r="K63" s="4">
        <f t="shared" ref="K63" si="98">H63*G63</f>
        <v>2.3232075999999999</v>
      </c>
      <c r="L63" s="4">
        <f t="shared" ref="L63" si="99">J63-K63</f>
        <v>0.74203626949999979</v>
      </c>
      <c r="M63" s="4">
        <f t="shared" ref="M63" si="100">K63/J63</f>
        <v>0.7579193365710768</v>
      </c>
      <c r="N63" s="6">
        <v>1000</v>
      </c>
      <c r="P63" t="s">
        <v>77</v>
      </c>
    </row>
    <row r="64" spans="2:16" x14ac:dyDescent="0.25">
      <c r="B64" s="6">
        <v>8.2400000000000001E-2</v>
      </c>
      <c r="C64" s="11" t="s">
        <v>53</v>
      </c>
      <c r="D64" s="4" t="str">
        <f t="shared" ref="D64:D70" si="101">TEXT(ROUND(E64,3),"#,#")&amp;"_"&amp;TEXT(G64,"0")</f>
        <v>24,_48</v>
      </c>
      <c r="E64" s="7">
        <v>24.0062</v>
      </c>
      <c r="F64" s="7">
        <v>0.24920999999999999</v>
      </c>
      <c r="G64" s="7">
        <v>48.036999999999999</v>
      </c>
      <c r="H64" s="7">
        <v>0.10445</v>
      </c>
      <c r="I64" s="4">
        <f t="shared" si="96"/>
        <v>2.0010247352767201</v>
      </c>
      <c r="J64" s="4">
        <f t="shared" ref="J64:J70" si="102">F64*E64</f>
        <v>5.9825851019999998</v>
      </c>
      <c r="K64" s="4">
        <f t="shared" ref="K64:K70" si="103">H64*G64</f>
        <v>5.01746465</v>
      </c>
      <c r="L64" s="4">
        <f t="shared" ref="L64:L70" si="104">J64-K64</f>
        <v>0.96512045199999985</v>
      </c>
      <c r="M64" s="4">
        <f t="shared" ref="M64:M70" si="105">K64/J64</f>
        <v>0.83867835800992507</v>
      </c>
      <c r="N64" s="6">
        <v>450</v>
      </c>
    </row>
    <row r="65" spans="2:16" x14ac:dyDescent="0.25">
      <c r="B65" s="6">
        <v>0.12280000000000001</v>
      </c>
      <c r="C65" s="11" t="s">
        <v>53</v>
      </c>
      <c r="D65" s="4" t="str">
        <f t="shared" si="101"/>
        <v>24,_48</v>
      </c>
      <c r="E65" s="7">
        <v>24.0137</v>
      </c>
      <c r="F65" s="7">
        <v>0.49007000000000001</v>
      </c>
      <c r="G65" s="7">
        <v>48.014000000000003</v>
      </c>
      <c r="H65" s="7">
        <v>0.21806</v>
      </c>
      <c r="I65" s="4">
        <f t="shared" si="96"/>
        <v>1.9994419852001151</v>
      </c>
      <c r="J65" s="4">
        <f t="shared" si="102"/>
        <v>11.768393959000001</v>
      </c>
      <c r="K65" s="4">
        <f t="shared" si="103"/>
        <v>10.46993284</v>
      </c>
      <c r="L65" s="4">
        <f t="shared" si="104"/>
        <v>1.2984611190000006</v>
      </c>
      <c r="M65" s="4">
        <f t="shared" si="105"/>
        <v>0.88966539329633942</v>
      </c>
      <c r="N65" s="6">
        <v>220</v>
      </c>
    </row>
    <row r="66" spans="2:16" x14ac:dyDescent="0.25">
      <c r="B66" s="6">
        <v>0.1673</v>
      </c>
      <c r="C66" s="11" t="s">
        <v>53</v>
      </c>
      <c r="D66" s="4" t="str">
        <f t="shared" si="101"/>
        <v>24,_48</v>
      </c>
      <c r="E66" s="7">
        <v>24.019300000000001</v>
      </c>
      <c r="F66" s="7">
        <v>0.88876999999999995</v>
      </c>
      <c r="G66" s="7">
        <v>48.015000000000001</v>
      </c>
      <c r="H66" s="7">
        <v>0.40051500000000001</v>
      </c>
      <c r="I66" s="4">
        <f t="shared" si="96"/>
        <v>1.9990174567951604</v>
      </c>
      <c r="J66" s="4">
        <f t="shared" si="102"/>
        <v>21.347633260999999</v>
      </c>
      <c r="K66" s="4">
        <f t="shared" si="103"/>
        <v>19.230727725000001</v>
      </c>
      <c r="L66" s="4">
        <f t="shared" si="104"/>
        <v>2.1169055359999973</v>
      </c>
      <c r="M66" s="4">
        <f t="shared" si="105"/>
        <v>0.90083652318182861</v>
      </c>
      <c r="N66" s="6">
        <v>120</v>
      </c>
    </row>
    <row r="67" spans="2:16" x14ac:dyDescent="0.25">
      <c r="B67" s="6">
        <v>0.2087</v>
      </c>
      <c r="C67" s="11" t="s">
        <v>53</v>
      </c>
      <c r="D67" s="4" t="str">
        <f t="shared" si="101"/>
        <v>24,_48</v>
      </c>
      <c r="E67" s="7">
        <v>24.02</v>
      </c>
      <c r="F67" s="7">
        <v>1.36955</v>
      </c>
      <c r="G67" s="7">
        <v>48.026000000000003</v>
      </c>
      <c r="H67" s="7">
        <v>0.62265000000000004</v>
      </c>
      <c r="I67" s="4">
        <f t="shared" si="96"/>
        <v>1.9994171523730226</v>
      </c>
      <c r="J67" s="4">
        <f t="shared" si="102"/>
        <v>32.896591000000001</v>
      </c>
      <c r="K67" s="4">
        <f t="shared" si="103"/>
        <v>29.903388900000003</v>
      </c>
      <c r="L67" s="4">
        <f t="shared" si="104"/>
        <v>2.9932020999999978</v>
      </c>
      <c r="M67" s="4">
        <f t="shared" si="105"/>
        <v>0.90901178483813116</v>
      </c>
      <c r="N67" s="6">
        <v>77</v>
      </c>
    </row>
    <row r="68" spans="2:16" x14ac:dyDescent="0.25">
      <c r="B68" s="6">
        <v>0.24979999999999999</v>
      </c>
      <c r="C68" s="11" t="s">
        <v>54</v>
      </c>
      <c r="D68" s="4" t="str">
        <f t="shared" si="101"/>
        <v>24,_48</v>
      </c>
      <c r="E68" s="7">
        <v>24.007300000000001</v>
      </c>
      <c r="F68" s="7">
        <v>2.2721</v>
      </c>
      <c r="G68" s="7">
        <v>48.014000000000003</v>
      </c>
      <c r="H68" s="7">
        <v>1.0437000000000001</v>
      </c>
      <c r="I68" s="4">
        <f t="shared" si="96"/>
        <v>1.9999750076018545</v>
      </c>
      <c r="J68" s="4">
        <f t="shared" si="102"/>
        <v>54.546986330000003</v>
      </c>
      <c r="K68" s="4">
        <f t="shared" si="103"/>
        <v>50.112211800000004</v>
      </c>
      <c r="L68" s="4">
        <f t="shared" si="104"/>
        <v>4.4347745299999985</v>
      </c>
      <c r="M68" s="4">
        <f t="shared" si="105"/>
        <v>0.91869808346201998</v>
      </c>
      <c r="N68" s="6">
        <v>46</v>
      </c>
    </row>
    <row r="69" spans="2:16" x14ac:dyDescent="0.25">
      <c r="B69" s="6">
        <v>0.25119999999999998</v>
      </c>
      <c r="C69" s="11" t="s">
        <v>54</v>
      </c>
      <c r="D69" s="4" t="str">
        <f t="shared" si="101"/>
        <v>24,_48</v>
      </c>
      <c r="E69" s="7">
        <v>24.011099999999999</v>
      </c>
      <c r="F69" s="7">
        <v>3.1560999999999999</v>
      </c>
      <c r="G69" s="7">
        <v>48.057000000000002</v>
      </c>
      <c r="H69" s="7">
        <v>1.4551799999999999</v>
      </c>
      <c r="I69" s="4">
        <f t="shared" si="96"/>
        <v>2.0014493296850207</v>
      </c>
      <c r="J69" s="4">
        <f t="shared" si="102"/>
        <v>75.78143270999999</v>
      </c>
      <c r="K69" s="4">
        <f t="shared" si="103"/>
        <v>69.931585260000006</v>
      </c>
      <c r="L69" s="4">
        <f t="shared" si="104"/>
        <v>5.8498474499999844</v>
      </c>
      <c r="M69" s="4">
        <f t="shared" si="105"/>
        <v>0.92280632285765629</v>
      </c>
      <c r="N69" s="6">
        <v>33</v>
      </c>
    </row>
    <row r="70" spans="2:16" x14ac:dyDescent="0.25">
      <c r="B70" s="18">
        <v>0.253</v>
      </c>
      <c r="C70" s="19" t="s">
        <v>54</v>
      </c>
      <c r="D70" s="20" t="str">
        <f t="shared" si="101"/>
        <v>24,_48</v>
      </c>
      <c r="E70" s="21">
        <v>24.0136</v>
      </c>
      <c r="F70" s="21">
        <v>4.2225000000000001</v>
      </c>
      <c r="G70" s="21">
        <v>48.113</v>
      </c>
      <c r="H70" s="21">
        <v>1.9397</v>
      </c>
      <c r="I70" s="20">
        <f t="shared" si="96"/>
        <v>2.0035729753139888</v>
      </c>
      <c r="J70" s="20">
        <f t="shared" si="102"/>
        <v>101.39742600000001</v>
      </c>
      <c r="K70" s="20">
        <f t="shared" si="103"/>
        <v>93.324786099999997</v>
      </c>
      <c r="L70" s="20">
        <f t="shared" si="104"/>
        <v>8.0726399000000129</v>
      </c>
      <c r="M70" s="20">
        <f t="shared" si="105"/>
        <v>0.92038614569959587</v>
      </c>
      <c r="N70" s="18">
        <v>25</v>
      </c>
      <c r="O70" s="12" t="str">
        <f>C70&amp;"_"&amp;TEXT(B70,"0,####")&amp;"_"&amp;TEXT(ROUND(E70,3),"#,#")&amp;"_"&amp;TEXT(G70,"0")&amp;"_"&amp;TEXT(ROUND(K70,1),"0,##")</f>
        <v>ccm_0,253_24,_48_93,3</v>
      </c>
      <c r="P70" s="16" t="s">
        <v>90</v>
      </c>
    </row>
    <row r="71" spans="2:16" x14ac:dyDescent="0.25">
      <c r="B71" s="6">
        <v>0.25259999999999999</v>
      </c>
      <c r="C71" s="11" t="s">
        <v>54</v>
      </c>
      <c r="D71" s="4" t="str">
        <f t="shared" ref="D71:D72" si="106">TEXT(ROUND(E71,3),"#,#")&amp;"_"&amp;TEXT(G71,"0")</f>
        <v>24,_48</v>
      </c>
      <c r="E71" s="7">
        <v>24.014099999999999</v>
      </c>
      <c r="F71" s="7">
        <v>4.5225999999999997</v>
      </c>
      <c r="G71" s="7">
        <v>48.021999999999998</v>
      </c>
      <c r="H71" s="7">
        <v>2.0891000000000002</v>
      </c>
      <c r="I71" s="4">
        <f t="shared" ref="I71:I72" si="107">G71/E71</f>
        <v>1.999741818348387</v>
      </c>
      <c r="J71" s="4">
        <f t="shared" ref="J71:J72" si="108">F71*E71</f>
        <v>108.60616865999999</v>
      </c>
      <c r="K71" s="4">
        <f t="shared" ref="K71:K72" si="109">H71*G71</f>
        <v>100.3227602</v>
      </c>
      <c r="L71" s="4">
        <f t="shared" ref="L71:L72" si="110">J71-K71</f>
        <v>8.2834084599999898</v>
      </c>
      <c r="M71" s="4">
        <f t="shared" ref="M71:M72" si="111">K71/J71</f>
        <v>0.92372985289692122</v>
      </c>
      <c r="N71" s="6">
        <v>23</v>
      </c>
    </row>
    <row r="72" spans="2:16" x14ac:dyDescent="0.25">
      <c r="B72" s="6">
        <v>0.25380000000000003</v>
      </c>
      <c r="C72" s="11" t="s">
        <v>54</v>
      </c>
      <c r="D72" s="4" t="str">
        <f t="shared" si="106"/>
        <v>24,_48</v>
      </c>
      <c r="E72" s="7">
        <v>24.006</v>
      </c>
      <c r="F72" s="7">
        <v>6.0262000000000002</v>
      </c>
      <c r="G72" s="7">
        <v>48.012</v>
      </c>
      <c r="H72" s="7">
        <v>2.7796599999999998</v>
      </c>
      <c r="I72" s="4">
        <f t="shared" si="107"/>
        <v>2</v>
      </c>
      <c r="J72" s="4">
        <f t="shared" si="108"/>
        <v>144.6649572</v>
      </c>
      <c r="K72" s="4">
        <f t="shared" si="109"/>
        <v>133.45703591999998</v>
      </c>
      <c r="L72" s="4">
        <f t="shared" si="110"/>
        <v>11.207921280000022</v>
      </c>
      <c r="M72" s="4">
        <f t="shared" si="111"/>
        <v>0.92252497427898161</v>
      </c>
      <c r="N72" s="6">
        <v>17.2</v>
      </c>
      <c r="O72" s="12" t="str">
        <f>C72&amp;"_"&amp;TEXT(B72,"0,####")&amp;"_"&amp;TEXT(ROUND(E72,3),"#,#")&amp;"_"&amp;TEXT(G72,"0")&amp;"_"&amp;TEXT(ROUND(K72,1),"0,#")</f>
        <v>ccm_0,2538_24,_48_133,5</v>
      </c>
    </row>
    <row r="73" spans="2:16" x14ac:dyDescent="0.25">
      <c r="C73" s="11"/>
      <c r="D73" s="4"/>
      <c r="E73" s="7"/>
      <c r="F73" s="7"/>
      <c r="G73" s="7"/>
      <c r="H73" s="7"/>
      <c r="I73" s="4"/>
      <c r="J73" s="4"/>
      <c r="K73" s="4"/>
      <c r="L73" s="4"/>
      <c r="M73" s="4"/>
    </row>
    <row r="74" spans="2:16" x14ac:dyDescent="0.25">
      <c r="C74" s="11"/>
      <c r="D74" s="4"/>
      <c r="E74" s="7"/>
      <c r="F74" s="7"/>
      <c r="G74" s="7"/>
      <c r="H74" s="7"/>
      <c r="I74" s="4"/>
      <c r="J74" s="4"/>
      <c r="K74" s="4"/>
      <c r="L74" s="4"/>
      <c r="M74" s="4"/>
    </row>
    <row r="75" spans="2:16" x14ac:dyDescent="0.25">
      <c r="C75" s="11"/>
      <c r="D75" s="4"/>
      <c r="E75" s="7"/>
      <c r="F75" s="7"/>
      <c r="G75" s="7"/>
      <c r="H75" s="7"/>
      <c r="I75" s="4"/>
      <c r="J75" s="4"/>
      <c r="K75" s="4"/>
      <c r="L75" s="4"/>
      <c r="M75" s="4"/>
    </row>
    <row r="76" spans="2:16" x14ac:dyDescent="0.25">
      <c r="C76" s="11"/>
      <c r="D76" s="4"/>
      <c r="E76" s="7"/>
      <c r="F76" s="7"/>
      <c r="G76" s="7"/>
      <c r="H76" s="7"/>
      <c r="I76" s="4"/>
      <c r="J76" s="4"/>
      <c r="K76" s="4"/>
      <c r="L76" s="4"/>
      <c r="M76" s="4"/>
    </row>
    <row r="77" spans="2:16" x14ac:dyDescent="0.25">
      <c r="C77" s="11"/>
      <c r="D77" s="4"/>
      <c r="E77" s="7"/>
      <c r="F77" s="7"/>
      <c r="G77" s="7"/>
      <c r="H77" s="7"/>
      <c r="I77" s="4"/>
      <c r="J77" s="4"/>
      <c r="K77" s="4"/>
      <c r="L77" s="4"/>
      <c r="M77" s="4"/>
    </row>
    <row r="79" spans="2:16" x14ac:dyDescent="0.25">
      <c r="C79" s="11"/>
      <c r="D79" s="4"/>
      <c r="E79" s="7"/>
      <c r="F79" s="7"/>
      <c r="G79" s="7"/>
      <c r="H79" s="7"/>
      <c r="I79" s="4"/>
      <c r="J79" s="4"/>
      <c r="K79" s="4"/>
      <c r="L79" s="4"/>
      <c r="M79" s="4"/>
    </row>
    <row r="80" spans="2:16" x14ac:dyDescent="0.25">
      <c r="C80" s="11"/>
      <c r="D80" s="4"/>
      <c r="E80" s="7"/>
      <c r="F80" s="7"/>
      <c r="G80" s="7"/>
      <c r="H80" s="7"/>
      <c r="I80" s="4"/>
      <c r="J80" s="4"/>
      <c r="K80" s="4"/>
      <c r="L80" s="4"/>
      <c r="M80" s="4"/>
    </row>
    <row r="81" spans="3:13" x14ac:dyDescent="0.25">
      <c r="C81" s="11"/>
      <c r="D81" s="4"/>
      <c r="E81" s="7"/>
      <c r="F81" s="7"/>
      <c r="G81" s="7"/>
      <c r="H81" s="7"/>
      <c r="I81" s="4"/>
      <c r="J81" s="4"/>
      <c r="K81" s="4"/>
      <c r="L81" s="4"/>
      <c r="M81" s="4"/>
    </row>
    <row r="82" spans="3:13" x14ac:dyDescent="0.25">
      <c r="C82" s="11"/>
      <c r="D82" s="4"/>
      <c r="E82" s="7"/>
      <c r="F82" s="7"/>
      <c r="G82" s="7"/>
      <c r="H82" s="7"/>
      <c r="I82" s="4"/>
      <c r="J82" s="4"/>
      <c r="K82" s="4"/>
      <c r="L82" s="4"/>
      <c r="M82" s="4"/>
    </row>
    <row r="83" spans="3:13" x14ac:dyDescent="0.25">
      <c r="C83" s="11"/>
      <c r="D83" s="4"/>
      <c r="E83" s="7"/>
      <c r="F83" s="7"/>
      <c r="G83" s="7"/>
      <c r="H83" s="7"/>
      <c r="I83" s="4"/>
      <c r="J83" s="4"/>
      <c r="K83" s="4"/>
      <c r="L83" s="4"/>
      <c r="M83" s="4"/>
    </row>
    <row r="84" spans="3:13" x14ac:dyDescent="0.25">
      <c r="C84" s="11"/>
      <c r="D84" s="4"/>
      <c r="E84" s="7"/>
      <c r="F84" s="7"/>
      <c r="G84" s="7"/>
      <c r="H84" s="7"/>
      <c r="I84" s="4"/>
      <c r="J84" s="4"/>
      <c r="K84" s="4"/>
      <c r="L84" s="4"/>
      <c r="M84" s="4"/>
    </row>
    <row r="86" spans="3:13" x14ac:dyDescent="0.25">
      <c r="C86" s="11"/>
      <c r="D86" s="4"/>
      <c r="E86" s="7"/>
      <c r="F86" s="7"/>
      <c r="G86" s="7"/>
      <c r="H86" s="7"/>
      <c r="I86" s="4"/>
      <c r="J86" s="4"/>
      <c r="K86" s="4"/>
      <c r="L86" s="4"/>
      <c r="M86" s="4"/>
    </row>
    <row r="87" spans="3:13" x14ac:dyDescent="0.25">
      <c r="C87" s="11"/>
      <c r="D87" s="4"/>
      <c r="E87" s="7"/>
      <c r="F87" s="7"/>
      <c r="G87" s="7"/>
      <c r="H87" s="7"/>
      <c r="I87" s="4"/>
      <c r="J87" s="4"/>
      <c r="K87" s="4"/>
      <c r="L87" s="4"/>
      <c r="M87" s="4"/>
    </row>
    <row r="88" spans="3:13" x14ac:dyDescent="0.25">
      <c r="C88" s="11"/>
      <c r="D88" s="4"/>
      <c r="E88" s="7"/>
      <c r="F88" s="7"/>
      <c r="G88" s="7"/>
      <c r="H88" s="7"/>
      <c r="I88" s="4"/>
      <c r="J88" s="4"/>
      <c r="K88" s="4"/>
      <c r="L88" s="4"/>
      <c r="M88" s="4"/>
    </row>
    <row r="89" spans="3:13" x14ac:dyDescent="0.25">
      <c r="C89" s="11"/>
      <c r="D89" s="4"/>
      <c r="E89" s="7"/>
      <c r="F89" s="7"/>
      <c r="G89" s="7"/>
      <c r="H89" s="7"/>
      <c r="I89" s="4"/>
      <c r="J89" s="4"/>
      <c r="K89" s="4"/>
      <c r="L89" s="4"/>
      <c r="M89" s="4"/>
    </row>
    <row r="90" spans="3:13" x14ac:dyDescent="0.25">
      <c r="C90" s="11"/>
      <c r="D90" s="4"/>
      <c r="E90" s="7"/>
      <c r="F90" s="7"/>
      <c r="G90" s="7"/>
      <c r="H90" s="7"/>
      <c r="I90" s="4"/>
      <c r="J90" s="4"/>
      <c r="K90" s="4"/>
      <c r="L90" s="4"/>
      <c r="M90" s="4"/>
    </row>
    <row r="92" spans="3:13" x14ac:dyDescent="0.25">
      <c r="C92" s="11"/>
      <c r="D92" s="4"/>
      <c r="E92" s="7"/>
      <c r="F92" s="7"/>
      <c r="G92" s="7"/>
      <c r="H92" s="7"/>
      <c r="I92" s="4"/>
      <c r="J92" s="4"/>
      <c r="K92" s="4"/>
      <c r="L92" s="4"/>
      <c r="M92" s="4"/>
    </row>
    <row r="93" spans="3:13" x14ac:dyDescent="0.25">
      <c r="C93" s="11"/>
      <c r="D93" s="4"/>
      <c r="E93" s="7"/>
      <c r="F93" s="7"/>
      <c r="G93" s="7"/>
      <c r="H93" s="7"/>
      <c r="I93" s="4"/>
      <c r="J93" s="4"/>
      <c r="K93" s="4"/>
      <c r="L93" s="4"/>
      <c r="M93" s="4"/>
    </row>
    <row r="94" spans="3:13" x14ac:dyDescent="0.25">
      <c r="C94" s="11"/>
      <c r="D94" s="4"/>
      <c r="E94" s="7"/>
      <c r="F94" s="7"/>
      <c r="G94" s="7"/>
      <c r="H94" s="7"/>
      <c r="I94" s="4"/>
      <c r="J94" s="4"/>
      <c r="K94" s="4"/>
      <c r="L94" s="4"/>
      <c r="M94" s="4"/>
    </row>
    <row r="95" spans="3:13" x14ac:dyDescent="0.25">
      <c r="C95" s="11"/>
      <c r="D95" s="4"/>
      <c r="E95" s="7"/>
      <c r="F95" s="7"/>
      <c r="G95" s="7"/>
      <c r="H95" s="7"/>
      <c r="I95" s="4"/>
      <c r="J95" s="4"/>
      <c r="K95" s="4"/>
      <c r="L95" s="4"/>
      <c r="M95" s="4"/>
    </row>
    <row r="96" spans="3:13" x14ac:dyDescent="0.25">
      <c r="C96" s="11"/>
      <c r="D96" s="4"/>
      <c r="E96" s="7"/>
      <c r="F96" s="7"/>
      <c r="G96" s="7"/>
      <c r="H96" s="7"/>
      <c r="I96" s="4"/>
      <c r="J96" s="4"/>
      <c r="K96" s="4"/>
      <c r="L96" s="4"/>
      <c r="M96" s="4"/>
    </row>
    <row r="97" spans="3:13" x14ac:dyDescent="0.25">
      <c r="C97" s="11"/>
      <c r="D97" s="4"/>
      <c r="E97" s="7"/>
      <c r="F97" s="7"/>
      <c r="G97" s="7"/>
      <c r="H97" s="7"/>
      <c r="I97" s="4"/>
      <c r="J97" s="4"/>
      <c r="K97" s="4"/>
      <c r="L97" s="4"/>
      <c r="M97" s="4"/>
    </row>
    <row r="98" spans="3:13" x14ac:dyDescent="0.25">
      <c r="C98" s="11"/>
      <c r="D98" s="4"/>
      <c r="E98" s="7"/>
      <c r="F98" s="7"/>
      <c r="G98" s="7"/>
      <c r="H98" s="7"/>
      <c r="I98" s="4"/>
      <c r="J98" s="4"/>
      <c r="K98" s="4"/>
      <c r="L98" s="4"/>
      <c r="M98" s="4"/>
    </row>
    <row r="99" spans="3:13" x14ac:dyDescent="0.25">
      <c r="C99" s="11"/>
      <c r="D99" s="4"/>
      <c r="E99" s="7"/>
      <c r="F99" s="7"/>
      <c r="G99" s="7"/>
      <c r="H99" s="7"/>
      <c r="I99" s="4"/>
      <c r="J99" s="4"/>
      <c r="K99" s="4"/>
      <c r="L99" s="4"/>
      <c r="M99" s="4"/>
    </row>
    <row r="100" spans="3:13" x14ac:dyDescent="0.25">
      <c r="C100" s="11"/>
      <c r="D100" s="4"/>
      <c r="E100" s="7"/>
      <c r="F100" s="7"/>
      <c r="G100" s="7"/>
      <c r="H100" s="7"/>
      <c r="I100" s="4"/>
      <c r="J100" s="4"/>
      <c r="K100" s="4"/>
      <c r="L100" s="4"/>
      <c r="M100" s="4"/>
    </row>
    <row r="101" spans="3:13" x14ac:dyDescent="0.25">
      <c r="C101" s="11"/>
      <c r="D101" s="4"/>
      <c r="E101" s="7"/>
      <c r="F101" s="7"/>
      <c r="G101" s="7"/>
      <c r="H101" s="7"/>
      <c r="I101" s="4"/>
      <c r="J101" s="4"/>
      <c r="K101" s="4"/>
      <c r="L101" s="4"/>
      <c r="M101" s="4"/>
    </row>
    <row r="102" spans="3:13" x14ac:dyDescent="0.25">
      <c r="C102" s="11"/>
      <c r="D102" s="4"/>
      <c r="E102" s="7"/>
      <c r="F102" s="7"/>
      <c r="G102" s="7"/>
      <c r="H102" s="7"/>
      <c r="I102" s="4"/>
      <c r="J102" s="4"/>
      <c r="K102" s="4"/>
      <c r="L102" s="4"/>
      <c r="M102" s="4"/>
    </row>
    <row r="103" spans="3:13" x14ac:dyDescent="0.25">
      <c r="C103" s="11"/>
      <c r="D103" s="4"/>
      <c r="E103" s="7"/>
      <c r="F103" s="7"/>
      <c r="G103" s="7"/>
      <c r="H103" s="7"/>
      <c r="I103" s="4"/>
      <c r="J103" s="4"/>
      <c r="K103" s="4"/>
      <c r="L103" s="4"/>
      <c r="M103" s="4"/>
    </row>
    <row r="104" spans="3:13" x14ac:dyDescent="0.25">
      <c r="C104" s="11"/>
      <c r="D104" s="4"/>
      <c r="E104" s="7"/>
      <c r="F104" s="7"/>
      <c r="G104" s="7"/>
      <c r="H104" s="7"/>
      <c r="I104" s="4"/>
      <c r="J104" s="4"/>
      <c r="K104" s="4"/>
      <c r="L104" s="4"/>
      <c r="M104" s="4"/>
    </row>
    <row r="105" spans="3:13" x14ac:dyDescent="0.25">
      <c r="C105" s="11"/>
      <c r="D105" s="4"/>
      <c r="E105" s="7"/>
      <c r="F105" s="7"/>
      <c r="G105" s="7"/>
      <c r="H105" s="7"/>
      <c r="I105" s="4"/>
      <c r="J105" s="4"/>
      <c r="K105" s="4"/>
      <c r="L105" s="4"/>
      <c r="M105" s="4"/>
    </row>
    <row r="106" spans="3:13" x14ac:dyDescent="0.25">
      <c r="C106" s="11"/>
      <c r="D106" s="4"/>
      <c r="E106" s="7"/>
      <c r="F106" s="7"/>
      <c r="G106" s="7"/>
      <c r="H106" s="7"/>
      <c r="I106" s="4"/>
      <c r="J106" s="4"/>
      <c r="K106" s="4"/>
      <c r="L106" s="4"/>
      <c r="M106" s="4"/>
    </row>
    <row r="107" spans="3:13" x14ac:dyDescent="0.25">
      <c r="C107" s="11"/>
      <c r="D107" s="4"/>
      <c r="E107" s="7"/>
      <c r="F107" s="7"/>
      <c r="G107" s="7"/>
      <c r="H107" s="7"/>
      <c r="I107" s="4"/>
      <c r="J107" s="4"/>
      <c r="K107" s="4"/>
      <c r="L107" s="4"/>
      <c r="M107" s="4"/>
    </row>
    <row r="108" spans="3:13" x14ac:dyDescent="0.25">
      <c r="C108" s="11"/>
      <c r="D108" s="4"/>
      <c r="E108" s="7"/>
      <c r="F108" s="7"/>
      <c r="G108" s="7"/>
      <c r="H108" s="7"/>
      <c r="I108" s="4"/>
      <c r="J108" s="4"/>
      <c r="K108" s="4"/>
      <c r="L108" s="4"/>
      <c r="M108" s="4"/>
    </row>
    <row r="109" spans="3:13" x14ac:dyDescent="0.25">
      <c r="C109" s="11"/>
      <c r="D109" s="4"/>
      <c r="E109" s="7"/>
      <c r="F109" s="7"/>
      <c r="G109" s="7"/>
      <c r="H109" s="7"/>
      <c r="I109" s="4"/>
      <c r="J109" s="4"/>
      <c r="K109" s="4"/>
      <c r="L109" s="4"/>
      <c r="M109" s="4"/>
    </row>
    <row r="110" spans="3:13" x14ac:dyDescent="0.25">
      <c r="C110" s="11"/>
      <c r="D110" s="4"/>
      <c r="E110" s="7"/>
      <c r="F110" s="7"/>
      <c r="G110" s="7"/>
      <c r="H110" s="7"/>
      <c r="I110" s="4"/>
      <c r="J110" s="4"/>
      <c r="K110" s="4"/>
      <c r="L110" s="4"/>
      <c r="M110" s="4"/>
    </row>
    <row r="111" spans="3:13" x14ac:dyDescent="0.25">
      <c r="C111" s="11"/>
      <c r="D111" s="4"/>
      <c r="E111" s="7"/>
      <c r="F111" s="7"/>
      <c r="G111" s="7"/>
      <c r="H111" s="7"/>
      <c r="I111" s="4"/>
      <c r="J111" s="4"/>
      <c r="K111" s="4"/>
      <c r="L111" s="4"/>
      <c r="M111" s="4"/>
    </row>
    <row r="112" spans="3:13" x14ac:dyDescent="0.25">
      <c r="C112" s="11"/>
      <c r="D112" s="4"/>
      <c r="E112" s="7"/>
      <c r="F112" s="7"/>
      <c r="G112" s="7"/>
      <c r="H112" s="7"/>
      <c r="I112" s="4"/>
      <c r="J112" s="4"/>
      <c r="K112" s="4"/>
      <c r="L112" s="4"/>
      <c r="M112" s="4"/>
    </row>
    <row r="114" spans="3:13" x14ac:dyDescent="0.25">
      <c r="C114" s="11"/>
      <c r="D114" s="4"/>
      <c r="E114" s="7"/>
      <c r="F114" s="7"/>
      <c r="G114" s="7"/>
      <c r="H114" s="7"/>
      <c r="I114" s="4"/>
      <c r="J114" s="4"/>
      <c r="K114" s="4"/>
      <c r="L114" s="4"/>
      <c r="M114" s="4"/>
    </row>
    <row r="115" spans="3:13" x14ac:dyDescent="0.25">
      <c r="C115" s="11"/>
      <c r="D115" s="4"/>
      <c r="E115" s="7"/>
      <c r="F115" s="7"/>
      <c r="G115" s="7"/>
      <c r="H115" s="7"/>
      <c r="I115" s="4"/>
      <c r="J115" s="4"/>
      <c r="K115" s="4"/>
      <c r="L115" s="4"/>
      <c r="M115" s="4"/>
    </row>
    <row r="116" spans="3:13" x14ac:dyDescent="0.25">
      <c r="C116" s="11"/>
      <c r="D116" s="4"/>
      <c r="E116" s="7"/>
      <c r="F116" s="7"/>
      <c r="G116" s="7"/>
      <c r="H116" s="7"/>
      <c r="I116" s="4"/>
      <c r="J116" s="4"/>
      <c r="K116" s="4"/>
      <c r="L116" s="4"/>
      <c r="M116" s="4"/>
    </row>
    <row r="117" spans="3:13" x14ac:dyDescent="0.25">
      <c r="C117" s="11"/>
      <c r="D117" s="4"/>
      <c r="E117" s="7"/>
      <c r="F117" s="7"/>
      <c r="G117" s="7"/>
      <c r="H117" s="7"/>
      <c r="I117" s="4"/>
      <c r="J117" s="4"/>
      <c r="K117" s="4"/>
      <c r="L117" s="4"/>
      <c r="M117" s="4"/>
    </row>
    <row r="118" spans="3:13" x14ac:dyDescent="0.25">
      <c r="C118" s="11"/>
      <c r="D118" s="4"/>
      <c r="E118" s="7"/>
      <c r="F118" s="7"/>
      <c r="G118" s="7"/>
      <c r="H118" s="7"/>
      <c r="I118" s="4"/>
      <c r="J118" s="4"/>
      <c r="K118" s="4"/>
      <c r="L118" s="4"/>
      <c r="M118" s="4"/>
    </row>
    <row r="120" spans="3:13" x14ac:dyDescent="0.25">
      <c r="C120" s="11"/>
      <c r="D120" s="4"/>
      <c r="E120" s="7"/>
      <c r="F120" s="7"/>
      <c r="G120" s="7"/>
      <c r="H120" s="7"/>
      <c r="I120" s="4"/>
      <c r="J120" s="4"/>
      <c r="K120" s="4"/>
      <c r="L120" s="4"/>
      <c r="M120" s="4"/>
    </row>
    <row r="121" spans="3:13" x14ac:dyDescent="0.25">
      <c r="C121" s="11"/>
      <c r="D121" s="4"/>
      <c r="E121" s="7"/>
      <c r="F121" s="7"/>
      <c r="G121" s="7"/>
      <c r="H121" s="7"/>
      <c r="I121" s="4"/>
      <c r="J121" s="4"/>
      <c r="K121" s="4"/>
      <c r="L121" s="4"/>
      <c r="M121" s="4"/>
    </row>
    <row r="122" spans="3:13" x14ac:dyDescent="0.25">
      <c r="C122" s="11"/>
      <c r="D122" s="4"/>
      <c r="E122" s="7"/>
      <c r="F122" s="7"/>
      <c r="G122" s="7"/>
      <c r="H122" s="7"/>
      <c r="I122" s="4"/>
      <c r="J122" s="4"/>
      <c r="K122" s="4"/>
      <c r="L122" s="4"/>
      <c r="M122" s="4"/>
    </row>
    <row r="123" spans="3:13" x14ac:dyDescent="0.25">
      <c r="C123" s="11"/>
      <c r="D123" s="4"/>
      <c r="E123" s="7"/>
      <c r="F123" s="7"/>
      <c r="G123" s="7"/>
      <c r="H123" s="7"/>
      <c r="I123" s="4"/>
      <c r="J123" s="4"/>
      <c r="K123" s="4"/>
      <c r="L123" s="4"/>
      <c r="M123" s="4"/>
    </row>
    <row r="124" spans="3:13" x14ac:dyDescent="0.25">
      <c r="C124" s="11"/>
      <c r="D124" s="4"/>
      <c r="E124" s="7"/>
      <c r="F124" s="7"/>
      <c r="G124" s="7"/>
      <c r="H124" s="7"/>
      <c r="I124" s="4"/>
      <c r="J124" s="4"/>
      <c r="K124" s="4"/>
      <c r="L124" s="4"/>
      <c r="M124" s="4"/>
    </row>
    <row r="125" spans="3:13" x14ac:dyDescent="0.25">
      <c r="C125" s="11"/>
      <c r="D125" s="4"/>
      <c r="E125" s="7"/>
      <c r="F125" s="7"/>
      <c r="G125" s="7"/>
      <c r="H125" s="7"/>
      <c r="I125" s="4"/>
      <c r="J125" s="4"/>
      <c r="K125" s="4"/>
      <c r="L125" s="4"/>
      <c r="M125" s="4"/>
    </row>
    <row r="126" spans="3:13" x14ac:dyDescent="0.25">
      <c r="C126" s="11"/>
      <c r="D126" s="4"/>
      <c r="E126" s="7"/>
      <c r="F126" s="7"/>
      <c r="G126" s="7"/>
      <c r="H126" s="7"/>
      <c r="I126" s="4"/>
      <c r="J126" s="4"/>
      <c r="K126" s="4"/>
      <c r="L126" s="4"/>
      <c r="M126" s="4"/>
    </row>
    <row r="127" spans="3:13" x14ac:dyDescent="0.25">
      <c r="C127" s="11"/>
      <c r="D127" s="4"/>
      <c r="E127" s="7"/>
      <c r="F127" s="7"/>
      <c r="G127" s="7"/>
      <c r="H127" s="7"/>
      <c r="I127" s="4"/>
      <c r="J127" s="4"/>
      <c r="K127" s="4"/>
      <c r="L127" s="4"/>
      <c r="M127" s="4"/>
    </row>
    <row r="128" spans="3:13" x14ac:dyDescent="0.25">
      <c r="C128" s="11"/>
      <c r="D128" s="4"/>
      <c r="E128" s="7"/>
      <c r="F128" s="7"/>
      <c r="G128" s="7"/>
      <c r="H128" s="7"/>
      <c r="I128" s="4"/>
      <c r="J128" s="4"/>
      <c r="K128" s="4"/>
      <c r="L128" s="4"/>
      <c r="M128" s="4"/>
    </row>
    <row r="130" spans="2:13" x14ac:dyDescent="0.25">
      <c r="C130" s="11"/>
      <c r="D130" s="4"/>
      <c r="E130" s="7"/>
      <c r="F130" s="7"/>
      <c r="G130" s="7"/>
      <c r="H130" s="7"/>
      <c r="I130" s="4"/>
      <c r="J130" s="4"/>
      <c r="K130" s="4"/>
      <c r="L130" s="4"/>
      <c r="M130" s="4"/>
    </row>
    <row r="131" spans="2:13" x14ac:dyDescent="0.25">
      <c r="C131" s="11"/>
      <c r="D131" s="4"/>
      <c r="E131" s="7"/>
      <c r="F131" s="7"/>
      <c r="G131" s="7"/>
      <c r="H131" s="7"/>
      <c r="I131" s="4"/>
      <c r="J131" s="4"/>
      <c r="K131" s="4"/>
      <c r="L131" s="4"/>
      <c r="M131" s="4"/>
    </row>
    <row r="132" spans="2:13" x14ac:dyDescent="0.25">
      <c r="C132" s="11"/>
      <c r="D132" s="4"/>
      <c r="E132" s="7"/>
      <c r="F132" s="7"/>
      <c r="G132" s="7"/>
      <c r="H132" s="7"/>
      <c r="I132" s="4"/>
      <c r="J132" s="4"/>
      <c r="K132" s="4"/>
      <c r="L132" s="4"/>
      <c r="M132" s="4"/>
    </row>
    <row r="133" spans="2:13" x14ac:dyDescent="0.25">
      <c r="C133" s="11"/>
      <c r="D133" s="4"/>
      <c r="E133" s="7"/>
      <c r="F133" s="7"/>
      <c r="G133" s="7"/>
      <c r="H133" s="7"/>
      <c r="I133" s="4"/>
      <c r="J133" s="4"/>
      <c r="K133" s="4"/>
      <c r="L133" s="4"/>
      <c r="M133" s="4"/>
    </row>
    <row r="135" spans="2:13" x14ac:dyDescent="0.25">
      <c r="B135" s="7"/>
      <c r="C135" s="11"/>
      <c r="D135" s="4"/>
      <c r="E135" s="7"/>
      <c r="F135" s="7"/>
      <c r="G135" s="7"/>
      <c r="H135" s="7"/>
      <c r="I135" s="4"/>
      <c r="J135" s="4"/>
      <c r="K135" s="4"/>
      <c r="L135" s="4"/>
      <c r="M135" s="4"/>
    </row>
    <row r="136" spans="2:13" x14ac:dyDescent="0.25">
      <c r="B136" s="7"/>
      <c r="C136" s="11"/>
      <c r="D136" s="4"/>
      <c r="E136" s="7"/>
      <c r="F136" s="7"/>
      <c r="G136" s="7"/>
      <c r="H136" s="7"/>
      <c r="I136" s="4"/>
      <c r="J136" s="4"/>
      <c r="K136" s="4"/>
      <c r="L136" s="4"/>
      <c r="M136" s="4"/>
    </row>
    <row r="137" spans="2:13" x14ac:dyDescent="0.25">
      <c r="B137" s="7"/>
      <c r="C137" s="11"/>
      <c r="D137" s="4"/>
      <c r="E137" s="7"/>
      <c r="F137" s="7"/>
      <c r="G137" s="7"/>
      <c r="H137" s="7"/>
      <c r="I137" s="4"/>
      <c r="J137" s="4"/>
      <c r="K137" s="4"/>
      <c r="L137" s="4"/>
      <c r="M137" s="4"/>
    </row>
    <row r="138" spans="2:13" x14ac:dyDescent="0.25">
      <c r="B138" s="7"/>
      <c r="C138" s="11"/>
      <c r="D138" s="4"/>
      <c r="E138" s="7"/>
      <c r="F138" s="7"/>
      <c r="G138" s="7"/>
      <c r="H138" s="7"/>
      <c r="I138" s="4"/>
      <c r="J138" s="4"/>
      <c r="K138" s="4"/>
      <c r="L138" s="4"/>
      <c r="M138" s="4"/>
    </row>
    <row r="139" spans="2:13" x14ac:dyDescent="0.25">
      <c r="B139" s="7"/>
      <c r="C139" s="11"/>
      <c r="D139" s="4"/>
      <c r="E139" s="7"/>
      <c r="F139" s="7"/>
      <c r="G139" s="7"/>
      <c r="H139" s="7"/>
      <c r="I139" s="4"/>
      <c r="J139" s="4"/>
      <c r="K139" s="4"/>
      <c r="L139" s="4"/>
      <c r="M139" s="4"/>
    </row>
    <row r="140" spans="2:13" x14ac:dyDescent="0.25">
      <c r="B140" s="7"/>
      <c r="C140" s="11"/>
      <c r="D140" s="4"/>
      <c r="E140" s="7"/>
      <c r="F140" s="7"/>
      <c r="G140" s="7"/>
      <c r="H140" s="7"/>
      <c r="I140" s="4"/>
      <c r="J140" s="4"/>
      <c r="K140" s="4"/>
      <c r="L140" s="4"/>
      <c r="M140" s="4"/>
    </row>
    <row r="142" spans="2:13" x14ac:dyDescent="0.25">
      <c r="B142" s="7"/>
      <c r="C142" s="11"/>
      <c r="D142" s="4"/>
      <c r="E142" s="7"/>
      <c r="F142" s="7"/>
      <c r="G142" s="7"/>
      <c r="H142" s="7"/>
      <c r="I142" s="4"/>
      <c r="J142" s="4"/>
      <c r="K142" s="4"/>
      <c r="L142" s="4"/>
      <c r="M142" s="4"/>
    </row>
    <row r="143" spans="2:13" x14ac:dyDescent="0.25">
      <c r="B143" s="7"/>
      <c r="C143" s="11"/>
      <c r="D143" s="4"/>
      <c r="E143" s="7"/>
      <c r="F143" s="7"/>
      <c r="G143" s="7"/>
      <c r="H143" s="7"/>
      <c r="I143" s="4"/>
      <c r="J143" s="4"/>
      <c r="K143" s="4"/>
      <c r="L143" s="4"/>
      <c r="M143" s="4"/>
    </row>
    <row r="144" spans="2:13" x14ac:dyDescent="0.25">
      <c r="B144" s="7"/>
      <c r="C144" s="11"/>
      <c r="D144" s="4"/>
      <c r="E144" s="7"/>
      <c r="F144" s="7"/>
      <c r="G144" s="7"/>
      <c r="H144" s="7"/>
      <c r="I144" s="4"/>
      <c r="J144" s="4"/>
      <c r="K144" s="4"/>
      <c r="L144" s="4"/>
      <c r="M144" s="4"/>
    </row>
    <row r="145" spans="2:13" x14ac:dyDescent="0.25">
      <c r="B145" s="7"/>
      <c r="C145" s="11"/>
      <c r="D145" s="4"/>
      <c r="E145" s="7"/>
      <c r="F145" s="7"/>
      <c r="G145" s="7"/>
      <c r="H145" s="7"/>
      <c r="I145" s="4"/>
      <c r="J145" s="4"/>
      <c r="K145" s="4"/>
      <c r="L145" s="4"/>
      <c r="M145" s="4"/>
    </row>
    <row r="146" spans="2:13" x14ac:dyDescent="0.25">
      <c r="B146" s="7"/>
      <c r="C146" s="11"/>
      <c r="D146" s="4"/>
      <c r="E146" s="7"/>
      <c r="F146" s="7"/>
      <c r="G146" s="7"/>
      <c r="H146" s="7"/>
      <c r="I146" s="4"/>
      <c r="J146" s="4"/>
      <c r="K146" s="4"/>
      <c r="L146" s="4"/>
      <c r="M146" s="4"/>
    </row>
    <row r="147" spans="2:13" x14ac:dyDescent="0.25">
      <c r="B147" s="7"/>
      <c r="C147" s="11"/>
      <c r="D147" s="4"/>
      <c r="E147" s="7"/>
      <c r="F147" s="7"/>
      <c r="G147" s="7"/>
      <c r="H147" s="7"/>
      <c r="I147" s="4"/>
      <c r="J147" s="4"/>
      <c r="K147" s="4"/>
      <c r="L147" s="4"/>
      <c r="M147" s="4"/>
    </row>
    <row r="148" spans="2:13" x14ac:dyDescent="0.25">
      <c r="B148" s="7"/>
      <c r="C148" s="11"/>
      <c r="D148" s="4"/>
      <c r="E148" s="7"/>
      <c r="F148" s="7"/>
      <c r="G148" s="7"/>
      <c r="H148" s="7"/>
      <c r="I148" s="4"/>
      <c r="J148" s="4"/>
      <c r="K148" s="4"/>
      <c r="L148" s="4"/>
      <c r="M148" s="4"/>
    </row>
    <row r="149" spans="2:13" x14ac:dyDescent="0.25">
      <c r="B149" s="7"/>
      <c r="C149" s="11"/>
      <c r="D149" s="4"/>
      <c r="E149" s="7"/>
      <c r="F149" s="7"/>
      <c r="G149" s="7"/>
      <c r="H149" s="7"/>
      <c r="I149" s="4"/>
      <c r="J149" s="4"/>
      <c r="K149" s="4"/>
      <c r="L149" s="4"/>
      <c r="M149" s="4"/>
    </row>
    <row r="150" spans="2:13" x14ac:dyDescent="0.25">
      <c r="B150" s="7"/>
      <c r="C150" s="11"/>
      <c r="D150" s="4"/>
      <c r="E150" s="7"/>
      <c r="F150" s="7"/>
      <c r="G150" s="7"/>
      <c r="H150" s="7"/>
      <c r="I150" s="4"/>
      <c r="J150" s="4"/>
      <c r="K150" s="4"/>
      <c r="L150" s="4"/>
      <c r="M150" s="4"/>
    </row>
    <row r="151" spans="2:13" x14ac:dyDescent="0.25">
      <c r="B151" s="7"/>
      <c r="C151" s="11"/>
      <c r="D151" s="4"/>
      <c r="E151" s="7"/>
      <c r="F151" s="7"/>
      <c r="G151" s="7"/>
      <c r="H151" s="7"/>
      <c r="I151" s="4"/>
      <c r="J151" s="4"/>
      <c r="K151" s="4"/>
      <c r="L151" s="4"/>
      <c r="M151" s="4"/>
    </row>
    <row r="152" spans="2:13" x14ac:dyDescent="0.25">
      <c r="B152" s="7"/>
      <c r="C152" s="11"/>
      <c r="D152" s="4"/>
      <c r="E152" s="7"/>
      <c r="F152" s="7"/>
      <c r="G152" s="7"/>
      <c r="H152" s="7"/>
      <c r="I152" s="4"/>
      <c r="J152" s="4"/>
      <c r="K152" s="4"/>
      <c r="L152" s="4"/>
      <c r="M152" s="4"/>
    </row>
    <row r="153" spans="2:13" x14ac:dyDescent="0.25">
      <c r="B153" s="7"/>
      <c r="C153" s="11"/>
      <c r="D153" s="4"/>
      <c r="E153" s="7"/>
      <c r="F153" s="7"/>
      <c r="G153" s="7"/>
      <c r="H153" s="7"/>
      <c r="I153" s="4"/>
      <c r="J153" s="4"/>
      <c r="K153" s="4"/>
      <c r="L153" s="4"/>
      <c r="M153" s="4"/>
    </row>
    <row r="154" spans="2:13" x14ac:dyDescent="0.25">
      <c r="B154" s="7"/>
      <c r="C154" s="11"/>
      <c r="D154" s="4"/>
      <c r="E154" s="7"/>
      <c r="F154" s="7"/>
      <c r="G154" s="7"/>
      <c r="H154" s="7"/>
      <c r="I154" s="4"/>
      <c r="J154" s="4"/>
      <c r="K154" s="4"/>
      <c r="L154" s="4"/>
      <c r="M154" s="4"/>
    </row>
    <row r="155" spans="2:13" x14ac:dyDescent="0.25">
      <c r="B155" s="7"/>
      <c r="C155" s="11"/>
      <c r="D155" s="4"/>
      <c r="E155" s="7"/>
      <c r="F155" s="7"/>
      <c r="G155" s="7"/>
      <c r="H155" s="7"/>
      <c r="I155" s="4"/>
      <c r="J155" s="4"/>
      <c r="K155" s="4"/>
      <c r="L155" s="4"/>
      <c r="M155" s="4"/>
    </row>
    <row r="157" spans="2:13" x14ac:dyDescent="0.25">
      <c r="B157" s="7"/>
      <c r="C157" s="11"/>
      <c r="D157" s="4"/>
      <c r="E157" s="7"/>
      <c r="F157" s="7"/>
      <c r="G157" s="7"/>
      <c r="H157" s="7"/>
      <c r="I157" s="4"/>
      <c r="J157" s="4"/>
      <c r="K157" s="4"/>
      <c r="L157" s="4"/>
      <c r="M157" s="4"/>
    </row>
    <row r="158" spans="2:13" x14ac:dyDescent="0.25">
      <c r="B158" s="7"/>
      <c r="C158" s="11"/>
      <c r="D158" s="4"/>
      <c r="E158" s="7"/>
      <c r="F158" s="7"/>
      <c r="G158" s="7"/>
      <c r="H158" s="7"/>
      <c r="I158" s="4"/>
      <c r="J158" s="4"/>
      <c r="K158" s="4"/>
      <c r="L158" s="4"/>
      <c r="M158" s="4"/>
    </row>
    <row r="159" spans="2:13" x14ac:dyDescent="0.25">
      <c r="B159" s="7"/>
      <c r="C159" s="11"/>
      <c r="D159" s="4"/>
      <c r="E159" s="7"/>
      <c r="F159" s="7"/>
      <c r="G159" s="7"/>
      <c r="H159" s="7"/>
      <c r="I159" s="4"/>
      <c r="J159" s="4"/>
      <c r="K159" s="4"/>
      <c r="L159" s="4"/>
      <c r="M159" s="4"/>
    </row>
    <row r="160" spans="2:13" x14ac:dyDescent="0.25">
      <c r="B160" s="7"/>
      <c r="C160" s="11"/>
      <c r="D160" s="4"/>
      <c r="E160" s="7"/>
      <c r="F160" s="7"/>
      <c r="G160" s="7"/>
      <c r="H160" s="7"/>
      <c r="I160" s="4"/>
      <c r="J160" s="4"/>
      <c r="K160" s="4"/>
      <c r="L160" s="4"/>
      <c r="M160" s="4"/>
    </row>
    <row r="161" spans="2:13" x14ac:dyDescent="0.25">
      <c r="B161" s="7"/>
      <c r="C161" s="11"/>
      <c r="D161" s="4"/>
      <c r="E161" s="7"/>
      <c r="F161" s="7"/>
      <c r="G161" s="7"/>
      <c r="H161" s="7"/>
      <c r="I161" s="4"/>
      <c r="J161" s="4"/>
      <c r="K161" s="4"/>
      <c r="L161" s="4"/>
      <c r="M161" s="4"/>
    </row>
    <row r="162" spans="2:13" x14ac:dyDescent="0.25">
      <c r="B162" s="7"/>
      <c r="C162" s="11"/>
      <c r="D162" s="4"/>
      <c r="E162" s="7"/>
      <c r="F162" s="7"/>
      <c r="G162" s="7"/>
      <c r="H162" s="7"/>
      <c r="I162" s="4"/>
      <c r="J162" s="4"/>
      <c r="K162" s="4"/>
      <c r="L162" s="4"/>
      <c r="M162" s="4"/>
    </row>
    <row r="163" spans="2:13" x14ac:dyDescent="0.25">
      <c r="B163" s="7"/>
      <c r="C163" s="11"/>
      <c r="D163" s="4"/>
      <c r="E163" s="7"/>
      <c r="F163" s="7"/>
      <c r="G163" s="7"/>
      <c r="H163" s="7"/>
      <c r="I163" s="4"/>
      <c r="J163" s="4"/>
      <c r="K163" s="4"/>
      <c r="L163" s="4"/>
      <c r="M163" s="4"/>
    </row>
    <row r="164" spans="2:13" x14ac:dyDescent="0.25">
      <c r="B164" s="7"/>
      <c r="C164" s="11"/>
      <c r="D164" s="4"/>
      <c r="F164" s="7"/>
      <c r="G164" s="7"/>
      <c r="H164" s="7"/>
      <c r="I164" s="4"/>
      <c r="J164" s="4"/>
      <c r="K164" s="4"/>
      <c r="L164" s="4"/>
      <c r="M164" s="4"/>
    </row>
    <row r="166" spans="2:13" x14ac:dyDescent="0.25">
      <c r="B166" s="7"/>
      <c r="C166" s="11"/>
      <c r="D166" s="4"/>
      <c r="E166" s="7"/>
      <c r="F166" s="7"/>
      <c r="G166" s="7"/>
      <c r="H166" s="7"/>
      <c r="I166" s="4"/>
      <c r="J166" s="4"/>
      <c r="K166" s="4"/>
      <c r="L166" s="4"/>
      <c r="M166" s="4"/>
    </row>
    <row r="167" spans="2:13" x14ac:dyDescent="0.25">
      <c r="B167" s="7"/>
      <c r="C167" s="11"/>
      <c r="D167" s="4"/>
      <c r="E167" s="7"/>
      <c r="F167" s="7"/>
      <c r="G167" s="7"/>
      <c r="H167" s="7"/>
      <c r="I167" s="4"/>
      <c r="J167" s="4"/>
      <c r="K167" s="4"/>
      <c r="L167" s="4"/>
      <c r="M167" s="4"/>
    </row>
    <row r="168" spans="2:13" x14ac:dyDescent="0.25">
      <c r="B168" s="7"/>
      <c r="C168" s="11"/>
      <c r="D168" s="4"/>
      <c r="E168" s="7"/>
      <c r="F168" s="7"/>
      <c r="G168" s="7"/>
      <c r="H168" s="7"/>
      <c r="I168" s="4"/>
      <c r="J168" s="4"/>
      <c r="K168" s="4"/>
      <c r="L168" s="4"/>
      <c r="M168" s="4"/>
    </row>
    <row r="169" spans="2:13" x14ac:dyDescent="0.25">
      <c r="B169" s="7"/>
      <c r="C169" s="11"/>
      <c r="D169" s="4"/>
      <c r="E169" s="7"/>
      <c r="F169" s="7"/>
      <c r="G169" s="7"/>
      <c r="H169" s="7"/>
      <c r="I169" s="4"/>
      <c r="J169" s="4"/>
      <c r="K169" s="4"/>
      <c r="L169" s="4"/>
      <c r="M169" s="4"/>
    </row>
    <row r="171" spans="2:13" x14ac:dyDescent="0.25">
      <c r="B171" s="7"/>
      <c r="C171" s="11"/>
      <c r="D171" s="4"/>
      <c r="E171" s="7"/>
      <c r="F171" s="7"/>
      <c r="G171" s="7"/>
      <c r="H171" s="7"/>
      <c r="I171" s="4"/>
      <c r="J171" s="4"/>
      <c r="K171" s="4"/>
      <c r="L171" s="4"/>
      <c r="M171" s="4"/>
    </row>
    <row r="172" spans="2:13" x14ac:dyDescent="0.25">
      <c r="B172" s="7"/>
      <c r="C172" s="11"/>
      <c r="D172" s="4"/>
      <c r="E172" s="7"/>
      <c r="F172" s="7"/>
      <c r="G172" s="7"/>
      <c r="H172" s="7"/>
      <c r="I172" s="4"/>
      <c r="J172" s="4"/>
      <c r="K172" s="4"/>
      <c r="L172" s="4"/>
      <c r="M172" s="4"/>
    </row>
    <row r="173" spans="2:13" x14ac:dyDescent="0.25">
      <c r="B173" s="7"/>
      <c r="C173" s="11"/>
      <c r="D173" s="4"/>
      <c r="F173" s="7"/>
      <c r="G173" s="7"/>
      <c r="H173" s="7"/>
      <c r="I173" s="4"/>
      <c r="J173" s="4"/>
      <c r="K173" s="4"/>
      <c r="L173" s="4"/>
      <c r="M173" s="4"/>
    </row>
    <row r="174" spans="2:13" x14ac:dyDescent="0.25">
      <c r="B174" s="7"/>
      <c r="C174" s="11"/>
      <c r="D174" s="4"/>
      <c r="E174" s="7"/>
      <c r="F174" s="7"/>
      <c r="G174" s="7"/>
      <c r="H174" s="7"/>
      <c r="I174" s="4"/>
      <c r="J174" s="4"/>
      <c r="K174" s="4"/>
      <c r="L174" s="4"/>
      <c r="M174" s="4"/>
    </row>
    <row r="175" spans="2:13" x14ac:dyDescent="0.25">
      <c r="B175" s="7"/>
      <c r="C175" s="11"/>
      <c r="D175" s="4"/>
      <c r="E175" s="7"/>
      <c r="F175" s="7"/>
      <c r="G175" s="7"/>
      <c r="H175" s="7"/>
      <c r="I175" s="4"/>
      <c r="J175" s="4"/>
      <c r="K175" s="4"/>
      <c r="L175" s="4"/>
      <c r="M175" s="4"/>
    </row>
    <row r="176" spans="2:13" x14ac:dyDescent="0.25">
      <c r="B176" s="7"/>
      <c r="C176" s="11"/>
      <c r="D176" s="4"/>
      <c r="E176" s="7"/>
      <c r="F176" s="7"/>
      <c r="G176" s="7"/>
      <c r="H176" s="7"/>
      <c r="I176" s="4"/>
      <c r="J176" s="4"/>
      <c r="K176" s="4"/>
      <c r="L176" s="4"/>
      <c r="M176" s="4"/>
    </row>
    <row r="177" spans="2:13" x14ac:dyDescent="0.25">
      <c r="B177" s="7"/>
      <c r="C177" s="11"/>
      <c r="D177" s="4"/>
      <c r="E177" s="7"/>
      <c r="F177" s="7"/>
      <c r="G177" s="7"/>
      <c r="H177" s="7"/>
      <c r="I177" s="4"/>
      <c r="J177" s="4"/>
      <c r="K177" s="4"/>
      <c r="L177" s="4"/>
      <c r="M177" s="4"/>
    </row>
    <row r="178" spans="2:13" x14ac:dyDescent="0.25">
      <c r="B178" s="7"/>
      <c r="C178" s="11"/>
      <c r="D178" s="4"/>
      <c r="E178" s="7"/>
      <c r="F178" s="7"/>
      <c r="G178" s="7"/>
      <c r="H178" s="7"/>
      <c r="I178" s="4"/>
      <c r="J178" s="4"/>
      <c r="K178" s="4"/>
      <c r="L178" s="4"/>
      <c r="M178" s="4"/>
    </row>
    <row r="180" spans="2:13" x14ac:dyDescent="0.25">
      <c r="B180" s="7"/>
      <c r="C180" s="11"/>
      <c r="D180" s="4"/>
      <c r="E180" s="7"/>
      <c r="F180" s="7"/>
      <c r="G180" s="8"/>
      <c r="H180" s="7"/>
      <c r="I180" s="4"/>
      <c r="J180" s="4"/>
      <c r="K180" s="4"/>
      <c r="L180" s="4"/>
      <c r="M180" s="4"/>
    </row>
    <row r="181" spans="2:13" x14ac:dyDescent="0.25">
      <c r="B181" s="7"/>
      <c r="C181" s="11"/>
      <c r="D181" s="4"/>
      <c r="E181" s="7"/>
      <c r="F181" s="7"/>
      <c r="G181" s="8"/>
      <c r="H181" s="7"/>
      <c r="I181" s="4"/>
      <c r="J181" s="4"/>
      <c r="K181" s="4"/>
      <c r="L181" s="4"/>
      <c r="M181" s="4"/>
    </row>
    <row r="183" spans="2:13" x14ac:dyDescent="0.25">
      <c r="B183" s="7"/>
      <c r="C183" s="11"/>
      <c r="D183" s="4"/>
      <c r="E183" s="7"/>
      <c r="F183" s="7"/>
      <c r="G183" s="7"/>
      <c r="H183" s="7"/>
      <c r="I183" s="4"/>
      <c r="J183" s="4"/>
      <c r="K183" s="4"/>
      <c r="L183" s="4"/>
      <c r="M183" s="4"/>
    </row>
    <row r="184" spans="2:13" x14ac:dyDescent="0.25">
      <c r="B184" s="7"/>
      <c r="C184" s="11"/>
      <c r="D184" s="4"/>
      <c r="E184" s="7"/>
      <c r="F184" s="7"/>
      <c r="G184" s="7"/>
      <c r="H184" s="7"/>
      <c r="I184" s="4"/>
      <c r="J184" s="4"/>
      <c r="K184" s="4"/>
      <c r="L184" s="4"/>
      <c r="M184" s="4"/>
    </row>
    <row r="185" spans="2:13" x14ac:dyDescent="0.25">
      <c r="B185" s="7"/>
      <c r="C185" s="11"/>
      <c r="D185" s="4"/>
      <c r="E185" s="7"/>
      <c r="F185" s="7"/>
      <c r="G185" s="7"/>
      <c r="H185" s="7"/>
      <c r="I185" s="4"/>
      <c r="J185" s="4"/>
      <c r="K185" s="4"/>
      <c r="L185" s="4"/>
      <c r="M185" s="4"/>
    </row>
    <row r="186" spans="2:13" x14ac:dyDescent="0.25">
      <c r="B186" s="7"/>
      <c r="C186" s="11"/>
      <c r="D186" s="4"/>
      <c r="E186" s="7"/>
      <c r="F186" s="7"/>
      <c r="G186" s="7"/>
      <c r="H186" s="7"/>
      <c r="I186" s="4"/>
      <c r="J186" s="4"/>
      <c r="K186" s="4"/>
      <c r="L186" s="4"/>
      <c r="M186" s="4"/>
    </row>
    <row r="187" spans="2:13" x14ac:dyDescent="0.25">
      <c r="B187" s="7"/>
      <c r="C187" s="11"/>
      <c r="D187" s="4"/>
      <c r="F187" s="7"/>
      <c r="G187" s="7"/>
      <c r="H187" s="7"/>
      <c r="I187" s="4"/>
      <c r="J187" s="4"/>
      <c r="K187" s="4"/>
      <c r="L187" s="4"/>
      <c r="M187" s="4"/>
    </row>
    <row r="189" spans="2:13" x14ac:dyDescent="0.25">
      <c r="B189" s="7"/>
      <c r="C189" s="11"/>
      <c r="D189" s="4"/>
      <c r="E189" s="7"/>
      <c r="F189" s="7"/>
      <c r="G189" s="7"/>
      <c r="H189" s="7"/>
      <c r="I189" s="4"/>
      <c r="J189" s="4"/>
      <c r="K189" s="4"/>
      <c r="L189" s="4"/>
      <c r="M189" s="4"/>
    </row>
    <row r="190" spans="2:13" x14ac:dyDescent="0.25">
      <c r="B190" s="7"/>
      <c r="C190" s="11"/>
      <c r="D190" s="4"/>
      <c r="E190" s="7"/>
      <c r="F190" s="7"/>
      <c r="G190" s="7"/>
      <c r="H190" s="7"/>
      <c r="I190" s="4"/>
      <c r="J190" s="4"/>
      <c r="K190" s="4"/>
      <c r="L190" s="4"/>
      <c r="M190" s="4"/>
    </row>
    <row r="191" spans="2:13" x14ac:dyDescent="0.25">
      <c r="B191" s="7"/>
      <c r="C191" s="11"/>
      <c r="D191" s="4"/>
      <c r="E191" s="7"/>
      <c r="F191" s="7"/>
      <c r="G191" s="7"/>
      <c r="H191" s="7"/>
      <c r="I191" s="4"/>
      <c r="J191" s="4"/>
      <c r="K191" s="4"/>
      <c r="L191" s="4"/>
      <c r="M191" s="4"/>
    </row>
    <row r="192" spans="2:13" x14ac:dyDescent="0.25">
      <c r="B192" s="7"/>
      <c r="C192" s="11"/>
      <c r="D192" s="4"/>
      <c r="E192" s="7"/>
      <c r="F192" s="7"/>
      <c r="G192" s="7"/>
      <c r="H192" s="7"/>
      <c r="I192" s="4"/>
      <c r="J192" s="4"/>
      <c r="K192" s="4"/>
      <c r="L192" s="4"/>
      <c r="M192" s="4"/>
    </row>
    <row r="194" spans="2:13" x14ac:dyDescent="0.25">
      <c r="B194" s="7"/>
      <c r="C194" s="11"/>
      <c r="D194" s="4"/>
      <c r="E194" s="7"/>
      <c r="F194" s="7"/>
      <c r="G194" s="7"/>
      <c r="H194" s="7"/>
      <c r="I194" s="4"/>
      <c r="J194" s="4"/>
      <c r="K194" s="4"/>
      <c r="L194" s="4"/>
      <c r="M194" s="4"/>
    </row>
    <row r="195" spans="2:13" x14ac:dyDescent="0.25">
      <c r="B195" s="7"/>
      <c r="C195" s="11"/>
      <c r="D195" s="4"/>
      <c r="E195" s="7"/>
      <c r="F195" s="7"/>
      <c r="G195" s="7"/>
      <c r="H195" s="7"/>
      <c r="I195" s="4"/>
      <c r="J195" s="4"/>
      <c r="K195" s="4"/>
      <c r="L195" s="4"/>
      <c r="M195" s="4"/>
    </row>
    <row r="196" spans="2:13" x14ac:dyDescent="0.25">
      <c r="B196" s="7"/>
      <c r="C196" s="11"/>
      <c r="D196" s="4"/>
      <c r="E196" s="7"/>
      <c r="F196" s="7"/>
      <c r="G196" s="7"/>
      <c r="H196" s="7"/>
      <c r="I196" s="4"/>
      <c r="J196" s="4"/>
      <c r="K196" s="4"/>
      <c r="L196" s="4"/>
      <c r="M196" s="4"/>
    </row>
    <row r="197" spans="2:13" x14ac:dyDescent="0.25">
      <c r="B197" s="7"/>
      <c r="C197" s="11"/>
      <c r="D197" s="4"/>
      <c r="F197" s="7"/>
      <c r="G197" s="7"/>
      <c r="H197" s="7"/>
      <c r="I197" s="4"/>
      <c r="J197" s="4"/>
      <c r="K197" s="4"/>
      <c r="L197" s="4"/>
      <c r="M197" s="4"/>
    </row>
    <row r="198" spans="2:13" x14ac:dyDescent="0.25">
      <c r="B198" s="7"/>
    </row>
    <row r="199" spans="2:13" x14ac:dyDescent="0.25">
      <c r="B199" s="7"/>
      <c r="C199" s="11"/>
      <c r="D199" s="4"/>
      <c r="E199" s="7"/>
      <c r="F199" s="7"/>
      <c r="G199" s="7"/>
      <c r="H199" s="7"/>
      <c r="I199" s="4"/>
      <c r="J199" s="4"/>
      <c r="K199" s="4"/>
      <c r="L199" s="4"/>
      <c r="M199" s="4"/>
    </row>
    <row r="200" spans="2:13" x14ac:dyDescent="0.25">
      <c r="B200" s="7"/>
      <c r="C200" s="11"/>
      <c r="D200" s="4"/>
      <c r="E200" s="7"/>
      <c r="F200" s="7"/>
      <c r="G200" s="7"/>
      <c r="H200" s="7"/>
      <c r="I200" s="4"/>
      <c r="J200" s="4"/>
      <c r="K200" s="4"/>
      <c r="L200" s="4"/>
      <c r="M200" s="4"/>
    </row>
    <row r="201" spans="2:13" x14ac:dyDescent="0.25">
      <c r="B201" s="7"/>
      <c r="C201" s="11"/>
      <c r="D201" s="4"/>
      <c r="E201" s="7"/>
      <c r="F201" s="7"/>
      <c r="G201" s="7"/>
      <c r="H201" s="7"/>
      <c r="I201" s="4"/>
      <c r="J201" s="4"/>
      <c r="K201" s="4"/>
      <c r="L201" s="4"/>
      <c r="M201" s="4"/>
    </row>
    <row r="202" spans="2:13" x14ac:dyDescent="0.25">
      <c r="B202" s="7"/>
      <c r="C202" s="11"/>
      <c r="D202" s="4"/>
      <c r="E202" s="7"/>
      <c r="F202" s="7"/>
      <c r="G202" s="7"/>
      <c r="H202" s="7"/>
      <c r="I202" s="4"/>
      <c r="J202" s="4"/>
      <c r="K202" s="4"/>
      <c r="L202" s="4"/>
      <c r="M202" s="4"/>
    </row>
    <row r="204" spans="2:13" x14ac:dyDescent="0.25">
      <c r="B204" s="7"/>
      <c r="C204" s="11"/>
      <c r="D204" s="4"/>
      <c r="E204" s="7"/>
      <c r="F204" s="7"/>
      <c r="G204" s="7"/>
      <c r="H204" s="7"/>
      <c r="I204" s="4"/>
      <c r="J204" s="4"/>
      <c r="K204" s="4"/>
      <c r="L204" s="4"/>
      <c r="M204" s="4"/>
    </row>
    <row r="205" spans="2:13" x14ac:dyDescent="0.25">
      <c r="B205" s="7"/>
      <c r="C205" s="11"/>
      <c r="D205" s="4"/>
      <c r="E205" s="7"/>
      <c r="F205" s="7"/>
      <c r="G205" s="7"/>
      <c r="H205" s="7"/>
      <c r="I205" s="4"/>
      <c r="J205" s="4"/>
      <c r="K205" s="4"/>
      <c r="L205" s="4"/>
      <c r="M205" s="4"/>
    </row>
    <row r="206" spans="2:13" x14ac:dyDescent="0.25">
      <c r="B206" s="7"/>
      <c r="C206" s="11"/>
      <c r="D206" s="4"/>
      <c r="E206" s="7"/>
      <c r="F206" s="7"/>
      <c r="G206" s="7"/>
      <c r="H206" s="7"/>
      <c r="I206" s="4"/>
      <c r="J206" s="4"/>
      <c r="K206" s="4"/>
      <c r="L206" s="4"/>
      <c r="M206" s="4"/>
    </row>
    <row r="207" spans="2:13" x14ac:dyDescent="0.25">
      <c r="B207" s="7"/>
      <c r="C207" s="11"/>
      <c r="D207" s="4"/>
      <c r="E207" s="7"/>
      <c r="F207" s="7"/>
      <c r="G207" s="7"/>
      <c r="H207" s="7"/>
      <c r="I207" s="4"/>
      <c r="J207" s="4"/>
      <c r="K207" s="4"/>
      <c r="L207" s="4"/>
      <c r="M207" s="4"/>
    </row>
    <row r="208" spans="2:13" x14ac:dyDescent="0.25">
      <c r="B208" s="7"/>
      <c r="C208" s="11"/>
      <c r="D208" s="4"/>
      <c r="F208" s="7"/>
      <c r="G208" s="7"/>
      <c r="H208" s="7"/>
      <c r="I208" s="4"/>
      <c r="J208" s="4"/>
      <c r="K208" s="4"/>
      <c r="L208" s="4"/>
      <c r="M208" s="4"/>
    </row>
    <row r="209" spans="2:13" x14ac:dyDescent="0.25">
      <c r="B209" s="7"/>
      <c r="C209" s="11"/>
      <c r="D209" s="4"/>
      <c r="E209" s="7"/>
      <c r="F209" s="7"/>
      <c r="G209" s="7"/>
      <c r="H209" s="7"/>
      <c r="I209" s="4"/>
      <c r="J209" s="4"/>
      <c r="K209" s="4"/>
      <c r="L209" s="4"/>
      <c r="M209" s="4"/>
    </row>
    <row r="210" spans="2:13" x14ac:dyDescent="0.25">
      <c r="B210" s="7"/>
      <c r="C210" s="11"/>
      <c r="D210" s="4"/>
      <c r="E210" s="7"/>
      <c r="F210" s="7"/>
      <c r="G210" s="7"/>
      <c r="H210" s="7"/>
      <c r="I210" s="4"/>
      <c r="J210" s="4"/>
      <c r="K210" s="4"/>
      <c r="L210" s="4"/>
      <c r="M210" s="4"/>
    </row>
    <row r="211" spans="2:13" x14ac:dyDescent="0.25">
      <c r="B211" s="7"/>
      <c r="C211" s="11"/>
      <c r="D211" s="4"/>
      <c r="E211" s="7"/>
      <c r="F211" s="7"/>
      <c r="G211" s="7"/>
      <c r="H211" s="7"/>
      <c r="I211" s="4"/>
      <c r="J211" s="4"/>
      <c r="K211" s="4"/>
      <c r="L211" s="4"/>
      <c r="M211" s="4"/>
    </row>
    <row r="213" spans="2:13" x14ac:dyDescent="0.25">
      <c r="B213" s="7"/>
      <c r="C213" s="11"/>
      <c r="D213" s="4"/>
      <c r="E213" s="7"/>
      <c r="F213" s="7"/>
      <c r="G213" s="7"/>
      <c r="H213" s="7"/>
      <c r="I213" s="4"/>
      <c r="J213" s="4"/>
      <c r="K213" s="4"/>
      <c r="L213" s="4"/>
      <c r="M213" s="4"/>
    </row>
    <row r="214" spans="2:13" x14ac:dyDescent="0.25">
      <c r="B214" s="7"/>
      <c r="C214" s="11"/>
      <c r="D214" s="4"/>
      <c r="E214" s="7"/>
      <c r="F214" s="7"/>
      <c r="G214" s="7"/>
      <c r="H214" s="7"/>
      <c r="I214" s="4"/>
      <c r="J214" s="4"/>
      <c r="K214" s="4"/>
      <c r="L214" s="4"/>
      <c r="M214" s="4"/>
    </row>
    <row r="215" spans="2:13" x14ac:dyDescent="0.25">
      <c r="B215" s="7"/>
      <c r="C215" s="11"/>
      <c r="D215" s="4"/>
      <c r="F215" s="7"/>
      <c r="G215" s="7"/>
      <c r="H215" s="7"/>
      <c r="I215" s="4"/>
      <c r="J215" s="4"/>
      <c r="K215" s="4"/>
      <c r="L215" s="4"/>
      <c r="M215" s="4"/>
    </row>
    <row r="217" spans="2:13" x14ac:dyDescent="0.25">
      <c r="B217" s="7"/>
      <c r="C217" s="11"/>
      <c r="D217" s="4"/>
      <c r="E217" s="7"/>
      <c r="F217" s="7"/>
      <c r="G217" s="7"/>
      <c r="H217" s="7"/>
      <c r="I217" s="4"/>
      <c r="J217" s="4"/>
      <c r="K217" s="4"/>
      <c r="L217" s="4"/>
      <c r="M217" s="4"/>
    </row>
    <row r="218" spans="2:13" x14ac:dyDescent="0.25">
      <c r="B218" s="7"/>
      <c r="C218" s="11"/>
      <c r="D218" s="4"/>
      <c r="E218" s="7"/>
      <c r="F218" s="7"/>
      <c r="G218" s="7"/>
      <c r="H218" s="7"/>
      <c r="I218" s="4"/>
      <c r="J218" s="4"/>
      <c r="K218" s="4"/>
      <c r="L218" s="4"/>
      <c r="M218" s="4"/>
    </row>
    <row r="220" spans="2:13" x14ac:dyDescent="0.25">
      <c r="B220" s="7"/>
      <c r="C220" s="11"/>
      <c r="D220" s="4"/>
      <c r="E220" s="7"/>
      <c r="F220" s="7"/>
      <c r="G220" s="7"/>
      <c r="H220" s="7"/>
      <c r="I220" s="4"/>
      <c r="J220" s="4"/>
      <c r="K220" s="4"/>
      <c r="L220" s="4"/>
      <c r="M220" s="4"/>
    </row>
    <row r="221" spans="2:13" x14ac:dyDescent="0.25">
      <c r="B221" s="7"/>
      <c r="C221" s="11"/>
      <c r="D221" s="4"/>
      <c r="E221" s="7"/>
      <c r="F221" s="7"/>
      <c r="G221" s="7"/>
      <c r="H221" s="7"/>
      <c r="I221" s="4"/>
      <c r="J221" s="4"/>
      <c r="K221" s="4"/>
      <c r="L221" s="4"/>
      <c r="M221" s="4"/>
    </row>
    <row r="222" spans="2:13" x14ac:dyDescent="0.25">
      <c r="B222" s="7"/>
      <c r="C222" s="11"/>
      <c r="D222" s="4"/>
      <c r="E222" s="7"/>
      <c r="F222" s="7"/>
      <c r="G222" s="7"/>
      <c r="H222" s="7"/>
      <c r="I222" s="4"/>
      <c r="J222" s="4"/>
      <c r="K222" s="4"/>
      <c r="L222" s="4"/>
      <c r="M222" s="4"/>
    </row>
    <row r="223" spans="2:13" x14ac:dyDescent="0.25">
      <c r="B223" s="7"/>
      <c r="C223" s="11"/>
      <c r="D223" s="4"/>
      <c r="E223" s="7"/>
      <c r="F223" s="7"/>
      <c r="G223" s="7"/>
      <c r="H223" s="7"/>
      <c r="I223" s="4"/>
      <c r="J223" s="4"/>
      <c r="K223" s="4"/>
      <c r="L223" s="4"/>
      <c r="M223" s="4"/>
    </row>
    <row r="225" spans="2:13" x14ac:dyDescent="0.25">
      <c r="B225" s="7"/>
      <c r="C225" s="11"/>
      <c r="D225" s="4"/>
      <c r="E225" s="7"/>
      <c r="F225" s="7"/>
      <c r="G225" s="7"/>
      <c r="H225" s="7"/>
      <c r="I225" s="4"/>
      <c r="J225" s="4"/>
      <c r="K225" s="4"/>
      <c r="L225" s="4"/>
      <c r="M225" s="4"/>
    </row>
    <row r="226" spans="2:13" x14ac:dyDescent="0.25">
      <c r="B226" s="7"/>
      <c r="C226" s="11"/>
      <c r="D226" s="4"/>
      <c r="E226" s="7"/>
      <c r="F226" s="7"/>
      <c r="G226" s="7"/>
      <c r="H226" s="7"/>
      <c r="I226" s="4"/>
      <c r="J226" s="4"/>
      <c r="K226" s="4"/>
      <c r="L226" s="4"/>
      <c r="M226" s="4"/>
    </row>
    <row r="227" spans="2:13" x14ac:dyDescent="0.25">
      <c r="B227" s="7"/>
      <c r="C227" s="11"/>
      <c r="D227" s="4"/>
      <c r="E227" s="7"/>
      <c r="F227" s="7"/>
      <c r="G227" s="7"/>
      <c r="H227" s="7"/>
      <c r="I227" s="4"/>
      <c r="J227" s="4"/>
      <c r="K227" s="4"/>
      <c r="L227" s="4"/>
      <c r="M227" s="4"/>
    </row>
    <row r="228" spans="2:13" x14ac:dyDescent="0.25">
      <c r="B228" s="7"/>
      <c r="C228" s="11"/>
      <c r="D228" s="4"/>
      <c r="E228" s="7"/>
      <c r="F228" s="7"/>
      <c r="G228" s="7"/>
      <c r="H228" s="7"/>
      <c r="I228" s="4"/>
      <c r="J228" s="4"/>
      <c r="K228" s="4"/>
      <c r="L228" s="4"/>
      <c r="M228" s="4"/>
    </row>
    <row r="230" spans="2:13" x14ac:dyDescent="0.25">
      <c r="B230" s="7"/>
      <c r="C230" s="11"/>
      <c r="D230" s="4"/>
      <c r="E230" s="7"/>
      <c r="F230" s="7"/>
      <c r="G230" s="8"/>
      <c r="H230" s="7"/>
      <c r="I230" s="4"/>
      <c r="J230" s="4"/>
      <c r="K230" s="4"/>
      <c r="L230" s="4"/>
      <c r="M230" s="4"/>
    </row>
    <row r="231" spans="2:13" x14ac:dyDescent="0.25">
      <c r="B231" s="7"/>
      <c r="C231" s="11"/>
      <c r="D231" s="4"/>
      <c r="E231" s="7"/>
      <c r="F231" s="7"/>
      <c r="G231" s="8"/>
      <c r="H231" s="7"/>
      <c r="I231" s="4"/>
      <c r="J231" s="4"/>
      <c r="K231" s="4"/>
      <c r="L231" s="4"/>
      <c r="M231" s="4"/>
    </row>
  </sheetData>
  <mergeCells count="2">
    <mergeCell ref="E6:H6"/>
    <mergeCell ref="I6:M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C3D4-A495-40BF-9101-5DE31BF8440D}">
  <dimension ref="A2:J15"/>
  <sheetViews>
    <sheetView workbookViewId="0">
      <selection activeCell="B12" sqref="B12"/>
    </sheetView>
  </sheetViews>
  <sheetFormatPr baseColWidth="10" defaultRowHeight="15" x14ac:dyDescent="0.25"/>
  <cols>
    <col min="2" max="2" width="36.7109375" bestFit="1" customWidth="1"/>
    <col min="3" max="3" width="29.7109375" bestFit="1" customWidth="1"/>
  </cols>
  <sheetData>
    <row r="2" spans="1:10" x14ac:dyDescent="0.25">
      <c r="A2" s="1" t="s">
        <v>59</v>
      </c>
      <c r="B2" s="1" t="s">
        <v>60</v>
      </c>
      <c r="C2" s="13" t="s">
        <v>82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/>
    </row>
    <row r="3" spans="1:10" x14ac:dyDescent="0.25">
      <c r="A3" t="s">
        <v>55</v>
      </c>
      <c r="B3" t="s">
        <v>61</v>
      </c>
      <c r="C3" s="15" t="str">
        <f>Wirkungsgradkurven!O18</f>
        <v>ccm_0,4423_3,3_24_7,5</v>
      </c>
      <c r="D3" s="14" t="s">
        <v>56</v>
      </c>
      <c r="E3" s="14" t="s">
        <v>57</v>
      </c>
      <c r="F3" s="14" t="s">
        <v>58</v>
      </c>
      <c r="G3" s="14" t="s">
        <v>91</v>
      </c>
    </row>
    <row r="4" spans="1:10" x14ac:dyDescent="0.25">
      <c r="A4" t="s">
        <v>62</v>
      </c>
      <c r="B4" t="s">
        <v>63</v>
      </c>
      <c r="C4" s="15" t="str">
        <f>Wirkungsgradkurven!O20</f>
        <v>ccm_0,447_3,3_24_11,8</v>
      </c>
      <c r="D4" s="14" t="s">
        <v>56</v>
      </c>
      <c r="E4" s="14" t="s">
        <v>57</v>
      </c>
      <c r="F4" s="14" t="s">
        <v>58</v>
      </c>
      <c r="G4" s="14" t="s">
        <v>91</v>
      </c>
    </row>
    <row r="5" spans="1:10" x14ac:dyDescent="0.25">
      <c r="A5" t="s">
        <v>65</v>
      </c>
      <c r="B5" t="s">
        <v>64</v>
      </c>
      <c r="C5" s="15" t="str">
        <f>Wirkungsgradkurven!O22</f>
        <v>dcm_0,125_5,_12_0,5</v>
      </c>
      <c r="D5" s="14" t="s">
        <v>56</v>
      </c>
      <c r="E5" s="14" t="s">
        <v>57</v>
      </c>
      <c r="F5" s="14" t="s">
        <v>58</v>
      </c>
      <c r="G5" s="14" t="s">
        <v>91</v>
      </c>
      <c r="H5" t="s">
        <v>66</v>
      </c>
    </row>
    <row r="6" spans="1:10" x14ac:dyDescent="0.25">
      <c r="A6" t="s">
        <v>67</v>
      </c>
      <c r="B6" t="s">
        <v>64</v>
      </c>
      <c r="C6" s="15" t="str">
        <f>Wirkungsgradkurven!O15</f>
        <v>dcm_0,272_3,3_24_1,2</v>
      </c>
      <c r="D6" s="14" t="s">
        <v>56</v>
      </c>
      <c r="E6" s="14" t="s">
        <v>57</v>
      </c>
      <c r="F6" s="14" t="s">
        <v>58</v>
      </c>
      <c r="G6" s="14" t="s">
        <v>91</v>
      </c>
    </row>
    <row r="7" spans="1:10" x14ac:dyDescent="0.25">
      <c r="A7" t="s">
        <v>68</v>
      </c>
      <c r="B7" t="s">
        <v>64</v>
      </c>
      <c r="C7" s="15" t="str">
        <f>Wirkungsgradkurven!O32</f>
        <v>ccm_0,401_5,_24_5,</v>
      </c>
      <c r="D7" s="14" t="s">
        <v>56</v>
      </c>
      <c r="E7" s="14" t="s">
        <v>57</v>
      </c>
      <c r="F7" s="14" t="s">
        <v>58</v>
      </c>
      <c r="G7" s="14" t="s">
        <v>91</v>
      </c>
    </row>
    <row r="8" spans="1:10" x14ac:dyDescent="0.25">
      <c r="A8" t="s">
        <v>69</v>
      </c>
      <c r="B8" t="s">
        <v>64</v>
      </c>
      <c r="C8" s="15" t="str">
        <f>Wirkungsgradkurven!O41</f>
        <v>ccm_0,4504_5,_48_19,2</v>
      </c>
      <c r="D8" s="14" t="s">
        <v>56</v>
      </c>
      <c r="E8" s="14" t="s">
        <v>57</v>
      </c>
      <c r="F8" s="14" t="s">
        <v>58</v>
      </c>
      <c r="G8" s="14" t="s">
        <v>91</v>
      </c>
      <c r="H8" t="s">
        <v>78</v>
      </c>
    </row>
    <row r="9" spans="1:10" x14ac:dyDescent="0.25">
      <c r="A9" t="s">
        <v>72</v>
      </c>
      <c r="B9" t="s">
        <v>64</v>
      </c>
      <c r="C9" s="15" t="str">
        <f>Wirkungsgradkurven!O37</f>
        <v>dcm_0,2291_5,_48_2,3</v>
      </c>
      <c r="D9" s="14" t="s">
        <v>56</v>
      </c>
      <c r="E9" s="14" t="s">
        <v>57</v>
      </c>
      <c r="F9" s="14" t="s">
        <v>58</v>
      </c>
      <c r="G9" s="14" t="s">
        <v>91</v>
      </c>
    </row>
    <row r="10" spans="1:10" x14ac:dyDescent="0.25">
      <c r="A10" t="s">
        <v>73</v>
      </c>
      <c r="B10" t="s">
        <v>64</v>
      </c>
      <c r="C10" s="15" t="str">
        <f>Wirkungsgradkurven!O43</f>
        <v>dcm_0,0493_12,_24_0,6</v>
      </c>
      <c r="D10" s="14" t="s">
        <v>56</v>
      </c>
      <c r="E10" s="14" t="s">
        <v>57</v>
      </c>
      <c r="F10" s="14" t="s">
        <v>58</v>
      </c>
      <c r="G10" s="14" t="s">
        <v>91</v>
      </c>
    </row>
    <row r="11" spans="1:10" x14ac:dyDescent="0.25">
      <c r="A11" t="s">
        <v>74</v>
      </c>
      <c r="B11" t="s">
        <v>64</v>
      </c>
      <c r="C11" s="15" t="str">
        <f>Wirkungsgradkurven!O47</f>
        <v>dcm_0,2077_12,_24_7,6</v>
      </c>
      <c r="D11" s="14" t="s">
        <v>56</v>
      </c>
      <c r="E11" s="14" t="s">
        <v>57</v>
      </c>
      <c r="F11" s="14" t="s">
        <v>58</v>
      </c>
      <c r="G11" s="14" t="s">
        <v>91</v>
      </c>
    </row>
    <row r="12" spans="1:10" x14ac:dyDescent="0.25">
      <c r="A12" t="s">
        <v>75</v>
      </c>
      <c r="B12" t="s">
        <v>76</v>
      </c>
      <c r="C12" s="15" t="str">
        <f>Wirkungsgradkurven!O53</f>
        <v>ccm_0,2686_12,_24_63,4</v>
      </c>
      <c r="D12" s="14" t="s">
        <v>56</v>
      </c>
      <c r="E12" s="14" t="s">
        <v>57</v>
      </c>
      <c r="F12" s="14" t="s">
        <v>58</v>
      </c>
      <c r="G12" s="14" t="s">
        <v>91</v>
      </c>
      <c r="H12" t="s">
        <v>78</v>
      </c>
    </row>
    <row r="13" spans="1:10" x14ac:dyDescent="0.25">
      <c r="A13" t="s">
        <v>79</v>
      </c>
      <c r="B13" t="s">
        <v>80</v>
      </c>
      <c r="C13" s="15" t="str">
        <f>Wirkungsgradkurven!O72</f>
        <v>ccm_0,2538_24,_48_133,5</v>
      </c>
      <c r="D13" s="14" t="s">
        <v>56</v>
      </c>
      <c r="E13" s="14" t="s">
        <v>57</v>
      </c>
      <c r="F13" s="14" t="s">
        <v>58</v>
      </c>
      <c r="G13" s="14" t="s">
        <v>91</v>
      </c>
      <c r="H13" t="s">
        <v>78</v>
      </c>
    </row>
    <row r="14" spans="1:10" x14ac:dyDescent="0.25">
      <c r="A14" t="s">
        <v>64</v>
      </c>
      <c r="B14" s="17" t="s">
        <v>88</v>
      </c>
      <c r="C14" t="str">
        <f>Wirkungsgradkurven!O50</f>
        <v>ccm_0,263_12,_24_28,7</v>
      </c>
      <c r="D14" s="14" t="s">
        <v>64</v>
      </c>
      <c r="E14" s="14" t="s">
        <v>64</v>
      </c>
      <c r="F14" s="14" t="s">
        <v>64</v>
      </c>
      <c r="G14" s="14" t="s">
        <v>64</v>
      </c>
      <c r="H14" s="14" t="s">
        <v>89</v>
      </c>
    </row>
    <row r="15" spans="1:10" x14ac:dyDescent="0.25">
      <c r="A15" t="s">
        <v>64</v>
      </c>
      <c r="B15" s="17" t="s">
        <v>88</v>
      </c>
      <c r="C15" t="str">
        <f>Wirkungsgradkurven!O70</f>
        <v>ccm_0,253_24,_48_93,3</v>
      </c>
      <c r="D15" s="14" t="s">
        <v>64</v>
      </c>
      <c r="E15" s="14" t="s">
        <v>64</v>
      </c>
      <c r="F15" s="14" t="s">
        <v>64</v>
      </c>
      <c r="G15" s="14" t="s">
        <v>64</v>
      </c>
      <c r="H15" s="14" t="s">
        <v>89</v>
      </c>
    </row>
  </sheetData>
  <phoneticPr fontId="4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4350-5702-4E99-919B-196B22BA9395}">
  <dimension ref="B2:E12"/>
  <sheetViews>
    <sheetView workbookViewId="0">
      <selection activeCell="B19" sqref="B19"/>
    </sheetView>
  </sheetViews>
  <sheetFormatPr baseColWidth="10" defaultRowHeight="15" x14ac:dyDescent="0.25"/>
  <cols>
    <col min="2" max="2" width="41.42578125" bestFit="1" customWidth="1"/>
    <col min="3" max="3" width="26.42578125" bestFit="1" customWidth="1"/>
    <col min="4" max="4" width="39.7109375" bestFit="1" customWidth="1"/>
  </cols>
  <sheetData>
    <row r="2" spans="2:5" x14ac:dyDescent="0.25">
      <c r="B2" s="2" t="s">
        <v>9</v>
      </c>
      <c r="C2" s="2" t="s">
        <v>10</v>
      </c>
      <c r="D2" s="2" t="s">
        <v>11</v>
      </c>
      <c r="E2" s="2" t="s">
        <v>12</v>
      </c>
    </row>
    <row r="3" spans="2:5" x14ac:dyDescent="0.25">
      <c r="B3" s="2" t="s">
        <v>13</v>
      </c>
      <c r="C3" s="2" t="s">
        <v>14</v>
      </c>
      <c r="D3" s="2" t="s">
        <v>15</v>
      </c>
      <c r="E3" s="3">
        <v>1</v>
      </c>
    </row>
    <row r="4" spans="2:5" x14ac:dyDescent="0.25">
      <c r="B4" s="2" t="s">
        <v>22</v>
      </c>
      <c r="C4" s="2" t="s">
        <v>19</v>
      </c>
      <c r="D4" s="2" t="s">
        <v>20</v>
      </c>
      <c r="E4" s="3">
        <v>1</v>
      </c>
    </row>
    <row r="5" spans="2:5" x14ac:dyDescent="0.25">
      <c r="B5" s="2" t="s">
        <v>24</v>
      </c>
      <c r="C5" s="2" t="s">
        <v>18</v>
      </c>
      <c r="D5" s="2" t="s">
        <v>23</v>
      </c>
      <c r="E5" s="3">
        <v>1</v>
      </c>
    </row>
    <row r="6" spans="2:5" x14ac:dyDescent="0.25">
      <c r="B6" s="2" t="s">
        <v>16</v>
      </c>
      <c r="C6" s="2" t="s">
        <v>17</v>
      </c>
      <c r="D6" s="2" t="s">
        <v>21</v>
      </c>
      <c r="E6" s="3">
        <v>4</v>
      </c>
    </row>
    <row r="7" spans="2:5" x14ac:dyDescent="0.25">
      <c r="B7" s="2" t="s">
        <v>26</v>
      </c>
      <c r="C7" s="2" t="s">
        <v>25</v>
      </c>
      <c r="D7" s="2" t="s">
        <v>27</v>
      </c>
      <c r="E7" s="3">
        <v>1</v>
      </c>
    </row>
    <row r="8" spans="2:5" x14ac:dyDescent="0.25">
      <c r="B8" s="2" t="s">
        <v>38</v>
      </c>
      <c r="C8" s="2" t="s">
        <v>39</v>
      </c>
      <c r="D8" s="2" t="s">
        <v>40</v>
      </c>
      <c r="E8" s="3">
        <v>1</v>
      </c>
    </row>
    <row r="9" spans="2:5" x14ac:dyDescent="0.25">
      <c r="B9" s="2" t="s">
        <v>71</v>
      </c>
      <c r="C9" s="2" t="s">
        <v>83</v>
      </c>
      <c r="D9" s="2" t="s">
        <v>70</v>
      </c>
      <c r="E9" s="3">
        <v>1</v>
      </c>
    </row>
    <row r="10" spans="2:5" x14ac:dyDescent="0.25">
      <c r="B10" s="2" t="s">
        <v>85</v>
      </c>
      <c r="C10" s="2" t="s">
        <v>86</v>
      </c>
      <c r="D10" s="2" t="s">
        <v>87</v>
      </c>
      <c r="E10" s="3">
        <v>2</v>
      </c>
    </row>
    <row r="11" spans="2:5" x14ac:dyDescent="0.25">
      <c r="B11" s="2"/>
      <c r="C11" s="2"/>
      <c r="D11" s="2"/>
      <c r="E11" s="3"/>
    </row>
    <row r="12" spans="2:5" x14ac:dyDescent="0.25">
      <c r="B12" s="2"/>
      <c r="C12" s="2"/>
      <c r="D12" s="2"/>
      <c r="E12" s="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FC67-3AFA-4CE4-9F6C-317DA59B97A1}">
  <dimension ref="A2:G6"/>
  <sheetViews>
    <sheetView tabSelected="1" workbookViewId="0">
      <selection activeCell="Q13" sqref="Q13"/>
    </sheetView>
  </sheetViews>
  <sheetFormatPr baseColWidth="10" defaultRowHeight="15" x14ac:dyDescent="0.25"/>
  <cols>
    <col min="1" max="1" width="33" bestFit="1" customWidth="1"/>
    <col min="2" max="2" width="20" customWidth="1"/>
  </cols>
  <sheetData>
    <row r="2" spans="1:7" x14ac:dyDescent="0.25">
      <c r="A2" s="24" t="s">
        <v>99</v>
      </c>
      <c r="B2" s="24" t="s">
        <v>100</v>
      </c>
      <c r="C2" s="24" t="s">
        <v>31</v>
      </c>
      <c r="D2" s="24" t="s">
        <v>33</v>
      </c>
      <c r="E2" s="24" t="s">
        <v>92</v>
      </c>
      <c r="F2" s="24" t="s">
        <v>93</v>
      </c>
      <c r="G2" s="25" t="s">
        <v>98</v>
      </c>
    </row>
    <row r="3" spans="1:7" x14ac:dyDescent="0.25">
      <c r="A3" s="24" t="s">
        <v>94</v>
      </c>
      <c r="B3" s="24">
        <v>26.5</v>
      </c>
      <c r="C3" s="2">
        <v>12</v>
      </c>
      <c r="D3" s="2">
        <v>24.08</v>
      </c>
      <c r="E3" s="2">
        <v>31.55</v>
      </c>
      <c r="F3" s="2">
        <v>29</v>
      </c>
      <c r="G3" s="2">
        <v>91.9</v>
      </c>
    </row>
    <row r="4" spans="1:7" x14ac:dyDescent="0.25">
      <c r="A4" s="24" t="s">
        <v>95</v>
      </c>
      <c r="B4" s="24">
        <v>25.8</v>
      </c>
      <c r="C4" s="26">
        <v>24</v>
      </c>
      <c r="D4" s="27">
        <v>47.96</v>
      </c>
      <c r="E4" s="2">
        <v>97.04</v>
      </c>
      <c r="F4" s="2">
        <v>92</v>
      </c>
      <c r="G4" s="2">
        <v>94.8</v>
      </c>
    </row>
    <row r="5" spans="1:7" x14ac:dyDescent="0.25">
      <c r="A5" s="24" t="s">
        <v>96</v>
      </c>
      <c r="B5" s="24">
        <v>26.3</v>
      </c>
      <c r="C5" s="27">
        <v>12.0039</v>
      </c>
      <c r="D5" s="27">
        <v>24.07</v>
      </c>
      <c r="E5" s="27">
        <v>32.254359261000005</v>
      </c>
      <c r="F5" s="27">
        <v>28.699623799999998</v>
      </c>
      <c r="G5" s="28">
        <v>88.979054173002396</v>
      </c>
    </row>
    <row r="6" spans="1:7" x14ac:dyDescent="0.25">
      <c r="A6" s="24" t="s">
        <v>97</v>
      </c>
      <c r="B6" s="24">
        <v>25.3</v>
      </c>
      <c r="C6" s="27">
        <v>24.0136</v>
      </c>
      <c r="D6" s="27">
        <v>48.113</v>
      </c>
      <c r="E6" s="27">
        <v>101.39742600000001</v>
      </c>
      <c r="F6" s="27">
        <v>93.324786099999997</v>
      </c>
      <c r="G6" s="28">
        <v>92.038614569959606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Uebersetzung_ccm</vt:lpstr>
      <vt:lpstr>Wirkungsgradkurven</vt:lpstr>
      <vt:lpstr>Bildverzeichnis</vt:lpstr>
      <vt:lpstr>Messmittel</vt:lpstr>
      <vt:lpstr>Simulationsvergleich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2026-09-19T17:58:22Z</dcterms:modified>
</cp:coreProperties>
</file>