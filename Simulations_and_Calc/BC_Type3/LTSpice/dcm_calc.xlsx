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HTW_Daniel_Stevic\Masterarbeit\Dimensionierung_und_Simulation\BC_Type3\LTSpice\"/>
    </mc:Choice>
  </mc:AlternateContent>
  <xr:revisionPtr revIDLastSave="0" documentId="13_ncr:1_{1E6644C3-7B12-4C50-8588-1092A99E5DFE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2" i="1" s="1"/>
  <c r="A12" i="1" s="1"/>
  <c r="B22" i="1"/>
  <c r="B67" i="1"/>
  <c r="I4" i="1"/>
  <c r="I3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I5" i="1"/>
  <c r="I6" i="1"/>
  <c r="I7" i="1"/>
  <c r="I8" i="1"/>
  <c r="I9" i="1"/>
  <c r="I10" i="1"/>
  <c r="I11" i="1"/>
  <c r="I12" i="1"/>
  <c r="D3" i="1"/>
  <c r="C3" i="1" s="1"/>
  <c r="A3" i="1" s="1"/>
  <c r="D4" i="1"/>
  <c r="C4" i="1" s="1"/>
  <c r="A4" i="1" s="1"/>
  <c r="D5" i="1"/>
  <c r="D6" i="1"/>
  <c r="C6" i="1" s="1"/>
  <c r="A6" i="1" s="1"/>
  <c r="D7" i="1"/>
  <c r="C7" i="1" s="1"/>
  <c r="A7" i="1" s="1"/>
  <c r="D8" i="1"/>
  <c r="C8" i="1" s="1"/>
  <c r="A8" i="1" s="1"/>
  <c r="D9" i="1"/>
  <c r="C9" i="1" s="1"/>
  <c r="A9" i="1" s="1"/>
  <c r="D10" i="1"/>
  <c r="C10" i="1" s="1"/>
  <c r="A10" i="1" s="1"/>
  <c r="D11" i="1"/>
  <c r="C11" i="1" s="1"/>
  <c r="A11" i="1" s="1"/>
  <c r="C5" i="1"/>
  <c r="A5" i="1" s="1"/>
</calcChain>
</file>

<file path=xl/sharedStrings.xml><?xml version="1.0" encoding="utf-8"?>
<sst xmlns="http://schemas.openxmlformats.org/spreadsheetml/2006/main" count="12" uniqueCount="9">
  <si>
    <t>T [s]</t>
  </si>
  <si>
    <t>Uc [V]</t>
  </si>
  <si>
    <t>U1 [V]</t>
  </si>
  <si>
    <t>L [H]</t>
  </si>
  <si>
    <t>d1 [1]</t>
  </si>
  <si>
    <t>R [Ohm]</t>
  </si>
  <si>
    <t>U2 [V]</t>
  </si>
  <si>
    <t>U2/U1 [1]</t>
  </si>
  <si>
    <t>K 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</si>
</sst>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Tabelle1!$B$21</c:f>
              <c:strCache>
                <c:ptCount val="1"/>
                <c:pt idx="0">
                  <c:v>U2/U1 [1]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Tabelle1!$C$22:$C$105</c:f>
              <c:numCache>
                <c:formatCode>General</c:formatCode>
                <c:ptCount val="8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</c:numCache>
            </c:numRef>
          </c:xVal>
          <c:yVal>
            <c:numRef>
              <c:f>Tabelle1!$B$22:$B$105</c:f>
              <c:numCache>
                <c:formatCode>General</c:formatCode>
                <c:ptCount val="84"/>
                <c:pt idx="0">
                  <c:v>1</c:v>
                </c:pt>
                <c:pt idx="1">
                  <c:v>1.0210572069210717</c:v>
                </c:pt>
                <c:pt idx="2">
                  <c:v>1.0818856381964599</c:v>
                </c:pt>
                <c:pt idx="3">
                  <c:v>1.1770852010246136</c:v>
                </c:pt>
                <c:pt idx="4">
                  <c:v>1.3010409635747446</c:v>
                </c:pt>
                <c:pt idx="5">
                  <c:v>1.4494465068352362</c:v>
                </c:pt>
                <c:pt idx="6">
                  <c:v>1.6194637478740994</c:v>
                </c:pt>
                <c:pt idx="7">
                  <c:v>1.8093744462085373</c:v>
                </c:pt>
                <c:pt idx="8">
                  <c:v>2.0182058805002976</c:v>
                </c:pt>
                <c:pt idx="9">
                  <c:v>2.2454560957750882</c:v>
                </c:pt>
                <c:pt idx="10">
                  <c:v>2.4909141662866023</c:v>
                </c:pt>
                <c:pt idx="11">
                  <c:v>2.7545468460991565</c:v>
                </c:pt>
                <c:pt idx="12">
                  <c:v>3.0364275503232916</c:v>
                </c:pt>
                <c:pt idx="13">
                  <c:v>3.3366916522379588</c:v>
                </c:pt>
                <c:pt idx="14">
                  <c:v>3.6555081538581038</c:v>
                </c:pt>
                <c:pt idx="15">
                  <c:v>3.9930616616098176</c:v>
                </c:pt>
                <c:pt idx="16">
                  <c:v>4.3495409450357823</c:v>
                </c:pt>
                <c:pt idx="17">
                  <c:v>4.7251317618853435</c:v>
                </c:pt>
                <c:pt idx="18">
                  <c:v>5.1200124808325365</c:v>
                </c:pt>
                <c:pt idx="19">
                  <c:v>5.5343515527420681</c:v>
                </c:pt>
                <c:pt idx="20">
                  <c:v>5.9683062062900349</c:v>
                </c:pt>
                <c:pt idx="21">
                  <c:v>6.4220219511926198</c:v>
                </c:pt>
                <c:pt idx="22">
                  <c:v>6.8956326075225718</c:v>
                </c:pt>
                <c:pt idx="23">
                  <c:v>7.3892606694363563</c:v>
                </c:pt>
                <c:pt idx="24">
                  <c:v>7.9030178723229181</c:v>
                </c:pt>
                <c:pt idx="25">
                  <c:v>8.437005873940203</c:v>
                </c:pt>
                <c:pt idx="26">
                  <c:v>8.9913169888567257</c:v>
                </c:pt>
                <c:pt idx="27">
                  <c:v>9.5660349355481671</c:v>
                </c:pt>
                <c:pt idx="28">
                  <c:v>10.161235569508495</c:v>
                </c:pt>
                <c:pt idx="29">
                  <c:v>10.776987585534668</c:v>
                </c:pt>
                <c:pt idx="30">
                  <c:v>11.413353179175537</c:v>
                </c:pt>
                <c:pt idx="31">
                  <c:v>12.070388662062026</c:v>
                </c:pt>
                <c:pt idx="32">
                  <c:v>12.748145029064807</c:v>
                </c:pt>
                <c:pt idx="33">
                  <c:v>13.446668477388794</c:v>
                </c:pt>
                <c:pt idx="34">
                  <c:v>14.166000879119942</c:v>
                </c:pt>
                <c:pt idx="35">
                  <c:v>14.906180209610721</c:v>
                </c:pt>
                <c:pt idx="36">
                  <c:v>15.667240934586561</c:v>
                </c:pt>
                <c:pt idx="37">
                  <c:v>16.449214359091258</c:v>
                </c:pt>
                <c:pt idx="38">
                  <c:v>17.252128941448689</c:v>
                </c:pt>
                <c:pt idx="39">
                  <c:v>18.076010575359618</c:v>
                </c:pt>
                <c:pt idx="40">
                  <c:v>18.920882843119436</c:v>
                </c:pt>
                <c:pt idx="41">
                  <c:v>19.786767242764668</c:v>
                </c:pt>
                <c:pt idx="42">
                  <c:v>20.673683391754402</c:v>
                </c:pt>
                <c:pt idx="43">
                  <c:v>21.581649209581656</c:v>
                </c:pt>
                <c:pt idx="44">
                  <c:v>22.510681081499328</c:v>
                </c:pt>
                <c:pt idx="45">
                  <c:v>23.460794005341434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40-4D98-B887-081139D4B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818911"/>
        <c:axId val="1788810271"/>
      </c:scatterChart>
      <c:valAx>
        <c:axId val="178881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88810271"/>
        <c:crosses val="autoZero"/>
        <c:crossBetween val="midCat"/>
      </c:valAx>
      <c:valAx>
        <c:axId val="178881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8881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43703</xdr:colOff>
      <xdr:row>20</xdr:row>
      <xdr:rowOff>22691</xdr:rowOff>
    </xdr:from>
    <xdr:to>
      <xdr:col>16</xdr:col>
      <xdr:colOff>177054</xdr:colOff>
      <xdr:row>41</xdr:row>
      <xdr:rowOff>113179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659CF3C2-562F-3387-F005-D775283F3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7"/>
  <sheetViews>
    <sheetView tabSelected="1" zoomScale="85" zoomScaleNormal="85" workbookViewId="0">
      <selection activeCell="V33" sqref="V33"/>
    </sheetView>
  </sheetViews>
  <sheetFormatPr baseColWidth="10" defaultColWidth="9.140625" defaultRowHeight="15" x14ac:dyDescent="0.25"/>
  <cols>
    <col min="3" max="3" width="14.5703125" bestFit="1" customWidth="1"/>
  </cols>
  <sheetData>
    <row r="2" spans="1:9" x14ac:dyDescent="0.25">
      <c r="A2" t="s">
        <v>7</v>
      </c>
      <c r="B2" t="s">
        <v>2</v>
      </c>
      <c r="C2" t="s">
        <v>6</v>
      </c>
      <c r="D2" t="s">
        <v>1</v>
      </c>
      <c r="E2" t="s">
        <v>0</v>
      </c>
      <c r="F2" t="s">
        <v>4</v>
      </c>
      <c r="G2" t="s">
        <v>3</v>
      </c>
      <c r="H2" t="s">
        <v>5</v>
      </c>
      <c r="I2" t="s">
        <v>8</v>
      </c>
    </row>
    <row r="3" spans="1:9" x14ac:dyDescent="0.25">
      <c r="A3">
        <f>C3/B3</f>
        <v>1</v>
      </c>
      <c r="B3">
        <v>12</v>
      </c>
      <c r="C3" s="3">
        <f>2*D3-B3</f>
        <v>12</v>
      </c>
      <c r="D3" s="2">
        <f>(3*B3*G3+(F3^2)*E3*B3*H3+SQRT(((3*B3*G3+(F3^2)*E3*B3*H3)^2)-8*(B3^2)*(G3^2)))/(4*G3)</f>
        <v>12</v>
      </c>
      <c r="E3" s="1">
        <v>1.0000000000000001E-5</v>
      </c>
      <c r="F3">
        <v>0</v>
      </c>
      <c r="G3" s="2">
        <v>4.6999999999999997E-5</v>
      </c>
      <c r="H3" s="6">
        <v>500</v>
      </c>
      <c r="I3" s="6">
        <f>(H3*E3)/G3</f>
        <v>106.38297872340426</v>
      </c>
    </row>
    <row r="4" spans="1:9" x14ac:dyDescent="0.25">
      <c r="A4">
        <f>C4/B4</f>
        <v>1.4982785406685661</v>
      </c>
      <c r="B4">
        <v>12</v>
      </c>
      <c r="C4" s="3">
        <f>2*D4-B4</f>
        <v>17.979342488022795</v>
      </c>
      <c r="D4" s="2">
        <f>(3*B4*G4+(F4^2)*E4*B4*H4+SQRT(((3*B4*G4+(F4^2)*E4*B4*H4)^2)-8*(B4^2)*(G4^2)))/(4*G4)</f>
        <v>14.989671244011397</v>
      </c>
      <c r="E4" s="1">
        <v>1.0000000000000001E-5</v>
      </c>
      <c r="F4">
        <v>5.2999999999999999E-2</v>
      </c>
      <c r="G4" s="2">
        <v>4.6999999999999997E-5</v>
      </c>
      <c r="H4" s="6">
        <v>500</v>
      </c>
      <c r="I4" s="1">
        <f>(H4*E4)/G4</f>
        <v>106.38297872340426</v>
      </c>
    </row>
    <row r="5" spans="1:9" x14ac:dyDescent="0.25">
      <c r="A5">
        <f t="shared" ref="A5:A12" si="0">C5/B5</f>
        <v>2.4909139117464623</v>
      </c>
      <c r="B5">
        <v>12</v>
      </c>
      <c r="C5" s="4">
        <f t="shared" ref="C5:C12" si="1">2*D5-$B$4</f>
        <v>29.890966940957547</v>
      </c>
      <c r="D5">
        <f t="shared" ref="D5:D12" si="2">(3*B5*G5+(F5^2)*E5*B5*H5+SQRT(((3*B5*G5+(F5^2)*E5*B5*H5)^2)-8*(B5^2)*(G5^2)))/(4*G5)</f>
        <v>20.945483470478774</v>
      </c>
      <c r="E5" s="1">
        <v>1.0000000000000001E-5</v>
      </c>
      <c r="F5">
        <v>0.1</v>
      </c>
      <c r="G5" s="2">
        <v>4.6999999999999997E-5</v>
      </c>
      <c r="H5" s="6">
        <v>500</v>
      </c>
      <c r="I5" s="6">
        <f t="shared" ref="I4:I12" si="3">(H5*E5)/G5</f>
        <v>106.38297872340426</v>
      </c>
    </row>
    <row r="6" spans="1:9" x14ac:dyDescent="0.25">
      <c r="A6">
        <f t="shared" si="0"/>
        <v>3.9930611411324164</v>
      </c>
      <c r="B6">
        <v>12</v>
      </c>
      <c r="C6" s="4">
        <f t="shared" si="1"/>
        <v>47.916733693588995</v>
      </c>
      <c r="D6">
        <f t="shared" si="2"/>
        <v>29.958366846794497</v>
      </c>
      <c r="E6" s="1">
        <v>1.0000000000000001E-5</v>
      </c>
      <c r="F6">
        <v>0.15</v>
      </c>
      <c r="G6" s="2">
        <v>4.6999999999999997E-5</v>
      </c>
      <c r="H6" s="6">
        <v>500</v>
      </c>
      <c r="I6" s="6">
        <f t="shared" si="3"/>
        <v>106.38297872340426</v>
      </c>
    </row>
    <row r="7" spans="1:9" x14ac:dyDescent="0.25">
      <c r="A7">
        <f t="shared" si="0"/>
        <v>5.9683053186663484</v>
      </c>
      <c r="B7">
        <v>12</v>
      </c>
      <c r="C7" s="4">
        <f t="shared" si="1"/>
        <v>71.619663823996177</v>
      </c>
      <c r="D7">
        <f t="shared" si="2"/>
        <v>41.809831911998089</v>
      </c>
      <c r="E7" s="1">
        <v>1.0000000000000001E-5</v>
      </c>
      <c r="F7">
        <v>0.2</v>
      </c>
      <c r="G7" s="2">
        <v>4.6999999999999997E-5</v>
      </c>
      <c r="H7" s="6">
        <v>500</v>
      </c>
      <c r="I7" s="6">
        <f t="shared" si="3"/>
        <v>106.38297872340426</v>
      </c>
    </row>
    <row r="8" spans="1:9" x14ac:dyDescent="0.25">
      <c r="A8">
        <f t="shared" si="0"/>
        <v>8.4370045136031884</v>
      </c>
      <c r="B8">
        <v>12</v>
      </c>
      <c r="C8" s="4">
        <f t="shared" si="1"/>
        <v>101.24405416323826</v>
      </c>
      <c r="D8">
        <f t="shared" si="2"/>
        <v>56.62202708161913</v>
      </c>
      <c r="E8" s="1">
        <v>1.0000000000000001E-5</v>
      </c>
      <c r="F8">
        <v>0.25</v>
      </c>
      <c r="G8" s="2">
        <v>4.6999999999999997E-5</v>
      </c>
      <c r="H8" s="6">
        <v>500</v>
      </c>
      <c r="I8" s="6">
        <f t="shared" si="3"/>
        <v>106.38297872340426</v>
      </c>
    </row>
    <row r="9" spans="1:9" x14ac:dyDescent="0.25">
      <c r="A9">
        <f t="shared" si="0"/>
        <v>11.413351239101083</v>
      </c>
      <c r="B9">
        <v>12</v>
      </c>
      <c r="C9" s="4">
        <f t="shared" si="1"/>
        <v>136.96021486921299</v>
      </c>
      <c r="D9">
        <f t="shared" si="2"/>
        <v>74.480107434606495</v>
      </c>
      <c r="E9" s="1">
        <v>1.0000000000000001E-5</v>
      </c>
      <c r="F9">
        <v>0.3</v>
      </c>
      <c r="G9" s="2">
        <v>4.6999999999999997E-5</v>
      </c>
      <c r="H9" s="6">
        <v>500</v>
      </c>
      <c r="I9" s="6">
        <f t="shared" si="3"/>
        <v>106.38297872340426</v>
      </c>
    </row>
    <row r="10" spans="1:9" x14ac:dyDescent="0.25">
      <c r="A10">
        <f t="shared" si="0"/>
        <v>14.906177582460289</v>
      </c>
      <c r="B10">
        <v>12</v>
      </c>
      <c r="C10" s="4">
        <f t="shared" si="1"/>
        <v>178.87413098952348</v>
      </c>
      <c r="D10">
        <f t="shared" si="2"/>
        <v>95.43706549476174</v>
      </c>
      <c r="E10" s="1">
        <v>1.0000000000000001E-5</v>
      </c>
      <c r="F10">
        <v>0.35</v>
      </c>
      <c r="G10" s="2">
        <v>4.6999999999999997E-5</v>
      </c>
      <c r="H10" s="6">
        <v>500</v>
      </c>
      <c r="I10" s="6">
        <f t="shared" si="3"/>
        <v>106.38297872340426</v>
      </c>
    </row>
    <row r="11" spans="1:9" x14ac:dyDescent="0.25">
      <c r="A11">
        <f t="shared" si="0"/>
        <v>18.920879421620473</v>
      </c>
      <c r="B11">
        <v>12</v>
      </c>
      <c r="C11" s="4">
        <f t="shared" si="1"/>
        <v>227.05055305944566</v>
      </c>
      <c r="D11">
        <f t="shared" si="2"/>
        <v>119.52527652972283</v>
      </c>
      <c r="E11" s="1">
        <v>1.0000000000000001E-5</v>
      </c>
      <c r="F11">
        <v>0.4</v>
      </c>
      <c r="G11" s="2">
        <v>4.6999999999999997E-5</v>
      </c>
      <c r="H11" s="6">
        <v>500</v>
      </c>
      <c r="I11" s="6">
        <f t="shared" si="3"/>
        <v>106.38297872340426</v>
      </c>
    </row>
    <row r="12" spans="1:9" x14ac:dyDescent="0.25">
      <c r="A12">
        <f>C12/B12</f>
        <v>23.460789682380717</v>
      </c>
      <c r="B12">
        <v>12</v>
      </c>
      <c r="C12" s="4">
        <f>2*D12-$B$4</f>
        <v>281.52947618856859</v>
      </c>
      <c r="D12" s="2">
        <f>(3*B12*G12+(F12^2)*E12*B12*H12+SQRT(((3*B12*G12+(F12^2)*E12*B12*H12)^2)-8*(B12^2)*(G12^2)))/(4*G12)</f>
        <v>146.7647380942843</v>
      </c>
      <c r="E12" s="1">
        <v>1.0000000000000001E-5</v>
      </c>
      <c r="F12">
        <v>0.45</v>
      </c>
      <c r="G12" s="2">
        <v>4.6999999999999997E-5</v>
      </c>
      <c r="H12" s="6">
        <v>500</v>
      </c>
      <c r="I12" s="6">
        <f t="shared" si="3"/>
        <v>106.38297872340426</v>
      </c>
    </row>
    <row r="21" spans="2:4" x14ac:dyDescent="0.25">
      <c r="B21" s="5" t="s">
        <v>7</v>
      </c>
      <c r="C21" t="s">
        <v>4</v>
      </c>
      <c r="D21" s="5" t="s">
        <v>8</v>
      </c>
    </row>
    <row r="22" spans="2:4" x14ac:dyDescent="0.25">
      <c r="B22">
        <f>1/2+(1/2)*C22^2*$D$22+(1/2)*SQRT(1+6*C22^2*$D$22+(C22^4)*$D$22^2)</f>
        <v>1</v>
      </c>
      <c r="C22">
        <v>0</v>
      </c>
      <c r="D22">
        <v>106.383</v>
      </c>
    </row>
    <row r="23" spans="2:4" x14ac:dyDescent="0.25">
      <c r="B23">
        <f t="shared" ref="B23:B67" si="4">1/2+(1/2)*C23^2*$D$22+(1/2)*SQRT(1+6*C23^2*$D$22+(C23^4)*$D$22^2)</f>
        <v>1.0210572069210717</v>
      </c>
      <c r="C23">
        <v>0.01</v>
      </c>
    </row>
    <row r="24" spans="2:4" x14ac:dyDescent="0.25">
      <c r="B24">
        <f t="shared" si="4"/>
        <v>1.0818856381964599</v>
      </c>
      <c r="C24">
        <v>0.02</v>
      </c>
    </row>
    <row r="25" spans="2:4" x14ac:dyDescent="0.25">
      <c r="B25">
        <f t="shared" si="4"/>
        <v>1.1770852010246136</v>
      </c>
      <c r="C25">
        <v>0.03</v>
      </c>
    </row>
    <row r="26" spans="2:4" x14ac:dyDescent="0.25">
      <c r="B26">
        <f t="shared" si="4"/>
        <v>1.3010409635747446</v>
      </c>
      <c r="C26">
        <v>0.04</v>
      </c>
    </row>
    <row r="27" spans="2:4" x14ac:dyDescent="0.25">
      <c r="B27">
        <f t="shared" si="4"/>
        <v>1.4494465068352362</v>
      </c>
      <c r="C27">
        <v>0.05</v>
      </c>
    </row>
    <row r="28" spans="2:4" x14ac:dyDescent="0.25">
      <c r="B28">
        <f t="shared" si="4"/>
        <v>1.6194637478740994</v>
      </c>
      <c r="C28">
        <v>0.06</v>
      </c>
    </row>
    <row r="29" spans="2:4" x14ac:dyDescent="0.25">
      <c r="B29">
        <f t="shared" si="4"/>
        <v>1.8093744462085373</v>
      </c>
      <c r="C29">
        <v>7.0000000000000007E-2</v>
      </c>
    </row>
    <row r="30" spans="2:4" x14ac:dyDescent="0.25">
      <c r="B30">
        <f t="shared" si="4"/>
        <v>2.0182058805002976</v>
      </c>
      <c r="C30">
        <v>0.08</v>
      </c>
    </row>
    <row r="31" spans="2:4" x14ac:dyDescent="0.25">
      <c r="B31">
        <f t="shared" si="4"/>
        <v>2.2454560957750882</v>
      </c>
      <c r="C31">
        <v>0.09</v>
      </c>
    </row>
    <row r="32" spans="2:4" x14ac:dyDescent="0.25">
      <c r="B32">
        <f t="shared" si="4"/>
        <v>2.4909141662866023</v>
      </c>
      <c r="C32">
        <v>0.1</v>
      </c>
    </row>
    <row r="33" spans="2:3" x14ac:dyDescent="0.25">
      <c r="B33">
        <f t="shared" si="4"/>
        <v>2.7545468460991565</v>
      </c>
      <c r="C33">
        <v>0.11</v>
      </c>
    </row>
    <row r="34" spans="2:3" x14ac:dyDescent="0.25">
      <c r="B34">
        <f t="shared" si="4"/>
        <v>3.0364275503232916</v>
      </c>
      <c r="C34">
        <v>0.12</v>
      </c>
    </row>
    <row r="35" spans="2:3" x14ac:dyDescent="0.25">
      <c r="B35">
        <f t="shared" si="4"/>
        <v>3.3366916522379588</v>
      </c>
      <c r="C35">
        <v>0.13</v>
      </c>
    </row>
    <row r="36" spans="2:3" x14ac:dyDescent="0.25">
      <c r="B36">
        <f t="shared" si="4"/>
        <v>3.6555081538581038</v>
      </c>
      <c r="C36">
        <v>0.14000000000000001</v>
      </c>
    </row>
    <row r="37" spans="2:3" x14ac:dyDescent="0.25">
      <c r="B37">
        <f t="shared" si="4"/>
        <v>3.9930616616098176</v>
      </c>
      <c r="C37">
        <v>0.15</v>
      </c>
    </row>
    <row r="38" spans="2:3" x14ac:dyDescent="0.25">
      <c r="B38">
        <f t="shared" si="4"/>
        <v>4.3495409450357823</v>
      </c>
      <c r="C38">
        <v>0.16</v>
      </c>
    </row>
    <row r="39" spans="2:3" x14ac:dyDescent="0.25">
      <c r="B39">
        <f t="shared" si="4"/>
        <v>4.7251317618853435</v>
      </c>
      <c r="C39">
        <v>0.17</v>
      </c>
    </row>
    <row r="40" spans="2:3" x14ac:dyDescent="0.25">
      <c r="B40">
        <f t="shared" si="4"/>
        <v>5.1200124808325365</v>
      </c>
      <c r="C40">
        <v>0.18</v>
      </c>
    </row>
    <row r="41" spans="2:3" x14ac:dyDescent="0.25">
      <c r="B41">
        <f t="shared" si="4"/>
        <v>5.5343515527420681</v>
      </c>
      <c r="C41">
        <v>0.19</v>
      </c>
    </row>
    <row r="42" spans="2:3" x14ac:dyDescent="0.25">
      <c r="B42">
        <f t="shared" si="4"/>
        <v>5.9683062062900349</v>
      </c>
      <c r="C42">
        <v>0.2</v>
      </c>
    </row>
    <row r="43" spans="2:3" x14ac:dyDescent="0.25">
      <c r="B43">
        <f t="shared" si="4"/>
        <v>6.4220219511926198</v>
      </c>
      <c r="C43">
        <v>0.21</v>
      </c>
    </row>
    <row r="44" spans="2:3" x14ac:dyDescent="0.25">
      <c r="B44">
        <f t="shared" si="4"/>
        <v>6.8956326075225718</v>
      </c>
      <c r="C44">
        <v>0.22</v>
      </c>
    </row>
    <row r="45" spans="2:3" x14ac:dyDescent="0.25">
      <c r="B45">
        <f t="shared" si="4"/>
        <v>7.3892606694363563</v>
      </c>
      <c r="C45">
        <v>0.23</v>
      </c>
    </row>
    <row r="46" spans="2:3" x14ac:dyDescent="0.25">
      <c r="B46">
        <f t="shared" si="4"/>
        <v>7.9030178723229181</v>
      </c>
      <c r="C46">
        <v>0.24</v>
      </c>
    </row>
    <row r="47" spans="2:3" x14ac:dyDescent="0.25">
      <c r="B47">
        <f t="shared" si="4"/>
        <v>8.437005873940203</v>
      </c>
      <c r="C47">
        <v>0.25</v>
      </c>
    </row>
    <row r="48" spans="2:3" x14ac:dyDescent="0.25">
      <c r="B48">
        <f t="shared" si="4"/>
        <v>8.9913169888567257</v>
      </c>
      <c r="C48">
        <v>0.26</v>
      </c>
    </row>
    <row r="49" spans="2:3" x14ac:dyDescent="0.25">
      <c r="B49">
        <f t="shared" si="4"/>
        <v>9.5660349355481671</v>
      </c>
      <c r="C49">
        <v>0.27</v>
      </c>
    </row>
    <row r="50" spans="2:3" x14ac:dyDescent="0.25">
      <c r="B50">
        <f t="shared" si="4"/>
        <v>10.161235569508495</v>
      </c>
      <c r="C50">
        <v>0.28000000000000003</v>
      </c>
    </row>
    <row r="51" spans="2:3" x14ac:dyDescent="0.25">
      <c r="B51">
        <f t="shared" si="4"/>
        <v>10.776987585534668</v>
      </c>
      <c r="C51">
        <v>0.28999999999999998</v>
      </c>
    </row>
    <row r="52" spans="2:3" x14ac:dyDescent="0.25">
      <c r="B52">
        <f t="shared" si="4"/>
        <v>11.413353179175537</v>
      </c>
      <c r="C52">
        <v>0.3</v>
      </c>
    </row>
    <row r="53" spans="2:3" x14ac:dyDescent="0.25">
      <c r="B53">
        <f t="shared" si="4"/>
        <v>12.070388662062026</v>
      </c>
      <c r="C53">
        <v>0.31</v>
      </c>
    </row>
    <row r="54" spans="2:3" x14ac:dyDescent="0.25">
      <c r="B54">
        <f t="shared" si="4"/>
        <v>12.748145029064807</v>
      </c>
      <c r="C54">
        <v>0.32</v>
      </c>
    </row>
    <row r="55" spans="2:3" x14ac:dyDescent="0.25">
      <c r="B55">
        <f t="shared" si="4"/>
        <v>13.446668477388794</v>
      </c>
      <c r="C55">
        <v>0.33</v>
      </c>
    </row>
    <row r="56" spans="2:3" x14ac:dyDescent="0.25">
      <c r="B56">
        <f t="shared" si="4"/>
        <v>14.166000879119942</v>
      </c>
      <c r="C56">
        <v>0.34</v>
      </c>
    </row>
    <row r="57" spans="2:3" x14ac:dyDescent="0.25">
      <c r="B57">
        <f t="shared" si="4"/>
        <v>14.906180209610721</v>
      </c>
      <c r="C57">
        <v>0.35</v>
      </c>
    </row>
    <row r="58" spans="2:3" x14ac:dyDescent="0.25">
      <c r="B58">
        <f t="shared" si="4"/>
        <v>15.667240934586561</v>
      </c>
      <c r="C58">
        <v>0.36</v>
      </c>
    </row>
    <row r="59" spans="2:3" x14ac:dyDescent="0.25">
      <c r="B59">
        <f t="shared" si="4"/>
        <v>16.449214359091258</v>
      </c>
      <c r="C59">
        <v>0.37</v>
      </c>
    </row>
    <row r="60" spans="2:3" x14ac:dyDescent="0.25">
      <c r="B60">
        <f t="shared" si="4"/>
        <v>17.252128941448689</v>
      </c>
      <c r="C60">
        <v>0.38</v>
      </c>
    </row>
    <row r="61" spans="2:3" x14ac:dyDescent="0.25">
      <c r="B61">
        <f t="shared" si="4"/>
        <v>18.076010575359618</v>
      </c>
      <c r="C61">
        <v>0.39</v>
      </c>
    </row>
    <row r="62" spans="2:3" x14ac:dyDescent="0.25">
      <c r="B62">
        <f t="shared" si="4"/>
        <v>18.920882843119436</v>
      </c>
      <c r="C62">
        <v>0.4</v>
      </c>
    </row>
    <row r="63" spans="2:3" x14ac:dyDescent="0.25">
      <c r="B63">
        <f t="shared" si="4"/>
        <v>19.786767242764668</v>
      </c>
      <c r="C63">
        <v>0.41</v>
      </c>
    </row>
    <row r="64" spans="2:3" x14ac:dyDescent="0.25">
      <c r="B64">
        <f t="shared" si="4"/>
        <v>20.673683391754402</v>
      </c>
      <c r="C64">
        <v>0.42</v>
      </c>
    </row>
    <row r="65" spans="2:3" x14ac:dyDescent="0.25">
      <c r="B65">
        <f t="shared" si="4"/>
        <v>21.581649209581656</v>
      </c>
      <c r="C65">
        <v>0.43</v>
      </c>
    </row>
    <row r="66" spans="2:3" x14ac:dyDescent="0.25">
      <c r="B66">
        <f t="shared" si="4"/>
        <v>22.510681081499328</v>
      </c>
      <c r="C66">
        <v>0.44</v>
      </c>
    </row>
    <row r="67" spans="2:3" x14ac:dyDescent="0.25">
      <c r="B67">
        <f>1/2+(1/2)*C67^2*$D$22+(1/2)*SQRT(1+6*C67^2*$D$22+(C67^4)*$D$22^2)</f>
        <v>23.460794005341434</v>
      </c>
      <c r="C67">
        <v>0.45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2015-06-05T18:19:34Z</dcterms:created>
  <dcterms:modified xsi:type="dcterms:W3CDTF">2026-06-25T19:05:47Z</dcterms:modified>
</cp:coreProperties>
</file>