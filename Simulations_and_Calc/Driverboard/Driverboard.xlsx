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FHTW_Daniel_Stevic\Masterarbeit\Dimensionierung_und_Simulation\Driverboard\"/>
    </mc:Choice>
  </mc:AlternateContent>
  <xr:revisionPtr revIDLastSave="0" documentId="13_ncr:1_{F10973B6-3934-4FDA-BE87-7525BAA2A89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reiberauslegu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D14" i="1"/>
  <c r="C14" i="1"/>
  <c r="C17" i="1"/>
  <c r="D9" i="1"/>
  <c r="C10" i="1"/>
  <c r="C9" i="1"/>
  <c r="D8" i="1"/>
  <c r="C8" i="1" s="1"/>
  <c r="H4" i="1"/>
</calcChain>
</file>

<file path=xl/sharedStrings.xml><?xml version="1.0" encoding="utf-8"?>
<sst xmlns="http://schemas.openxmlformats.org/spreadsheetml/2006/main" count="27" uniqueCount="27">
  <si>
    <t>Vsig_peak [V]</t>
  </si>
  <si>
    <t>Vcc [V]</t>
  </si>
  <si>
    <t>Vee [V]</t>
  </si>
  <si>
    <t>https://www.mouser.at/datasheet/3/57/1/AV02_2928EN_2023_08_03.pdf</t>
  </si>
  <si>
    <t>Rf [Ohm]</t>
  </si>
  <si>
    <r>
      <t>V</t>
    </r>
    <r>
      <rPr>
        <sz val="8"/>
        <color theme="1"/>
        <rFont val="Calibri"/>
        <family val="2"/>
        <scheme val="minor"/>
      </rPr>
      <t>OL</t>
    </r>
    <r>
      <rPr>
        <sz val="11"/>
        <color theme="1"/>
        <rFont val="Calibri"/>
        <family val="2"/>
        <scheme val="minor"/>
      </rPr>
      <t xml:space="preserve"> [V]</t>
    </r>
  </si>
  <si>
    <t>Selected or taken out of datasheet</t>
  </si>
  <si>
    <t>IF[mA]</t>
  </si>
  <si>
    <t>worst case</t>
  </si>
  <si>
    <t>Duty [1]</t>
  </si>
  <si>
    <t>VF_min [V]</t>
  </si>
  <si>
    <t>PO [mW]</t>
  </si>
  <si>
    <t>PE [mW]</t>
  </si>
  <si>
    <t>Icc_max [mA]</t>
  </si>
  <si>
    <t>Esw(Rg) [µJ]</t>
  </si>
  <si>
    <t>f [kHz]</t>
  </si>
  <si>
    <t>Po_switching [mW]</t>
  </si>
  <si>
    <t>Po_bias[mW]</t>
  </si>
  <si>
    <t>PT</t>
  </si>
  <si>
    <t>with datasheet</t>
  </si>
  <si>
    <t>Comment</t>
  </si>
  <si>
    <t>-</t>
  </si>
  <si>
    <t>Qg [nC]</t>
  </si>
  <si>
    <t>r</t>
  </si>
  <si>
    <t>Rg_sel [Ohm]</t>
  </si>
  <si>
    <t>Rg_min [Ohm]</t>
  </si>
  <si>
    <r>
      <rPr>
        <sz val="12"/>
        <color theme="1"/>
        <rFont val="Calibri"/>
        <family val="2"/>
        <scheme val="minor"/>
      </rPr>
      <t>I</t>
    </r>
    <r>
      <rPr>
        <sz val="8"/>
        <color theme="1"/>
        <rFont val="Calibri"/>
        <family val="2"/>
        <scheme val="minor"/>
      </rPr>
      <t>OL</t>
    </r>
    <r>
      <rPr>
        <sz val="11"/>
        <color theme="1"/>
        <rFont val="Calibri"/>
        <family val="2"/>
        <scheme val="minor"/>
      </rPr>
      <t xml:space="preserve"> [A]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</si>
</sst>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427952</xdr:colOff>
      <xdr:row>2</xdr:row>
      <xdr:rowOff>137433</xdr:rowOff>
    </xdr:from>
    <xdr:to>
      <xdr:col>26</xdr:col>
      <xdr:colOff>59972</xdr:colOff>
      <xdr:row>50</xdr:row>
      <xdr:rowOff>107451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3F91E7B-A8D1-AE31-D99E-8C510C900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6452" y="518433"/>
          <a:ext cx="8204520" cy="912762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29</xdr:row>
      <xdr:rowOff>124279</xdr:rowOff>
    </xdr:from>
    <xdr:to>
      <xdr:col>5</xdr:col>
      <xdr:colOff>591910</xdr:colOff>
      <xdr:row>39</xdr:row>
      <xdr:rowOff>129170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9CC42A6-160E-C5E9-0AB6-731D4C4528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7609"/>
        <a:stretch>
          <a:fillRect/>
        </a:stretch>
      </xdr:blipFill>
      <xdr:spPr>
        <a:xfrm>
          <a:off x="66675" y="5662386"/>
          <a:ext cx="5913664" cy="1909891"/>
        </a:xfrm>
        <a:prstGeom prst="rect">
          <a:avLst/>
        </a:prstGeom>
      </xdr:spPr>
    </xdr:pic>
    <xdr:clientData/>
  </xdr:twoCellAnchor>
  <xdr:twoCellAnchor editAs="oneCell">
    <xdr:from>
      <xdr:col>5</xdr:col>
      <xdr:colOff>892628</xdr:colOff>
      <xdr:row>21</xdr:row>
      <xdr:rowOff>174171</xdr:rowOff>
    </xdr:from>
    <xdr:to>
      <xdr:col>12</xdr:col>
      <xdr:colOff>196709</xdr:colOff>
      <xdr:row>39</xdr:row>
      <xdr:rowOff>145171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3A60D2CA-90E7-1017-EC2D-B2A2694DB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81057" y="4188278"/>
          <a:ext cx="4774152" cy="3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39"/>
  <sheetViews>
    <sheetView tabSelected="1" zoomScaleNormal="100" workbookViewId="0">
      <selection activeCell="D17" sqref="D17"/>
    </sheetView>
  </sheetViews>
  <sheetFormatPr baseColWidth="10" defaultColWidth="9.140625" defaultRowHeight="15" x14ac:dyDescent="0.25"/>
  <cols>
    <col min="1" max="1" width="9.140625" style="1"/>
    <col min="2" max="2" width="27.28515625" style="1" bestFit="1" customWidth="1"/>
    <col min="3" max="3" width="13.140625" style="1" bestFit="1" customWidth="1"/>
    <col min="4" max="4" width="12.85546875" style="1" bestFit="1" customWidth="1"/>
    <col min="5" max="5" width="18.28515625" style="1" bestFit="1" customWidth="1"/>
    <col min="6" max="6" width="14.42578125" style="1" customWidth="1"/>
    <col min="7" max="7" width="13.42578125" style="1" bestFit="1" customWidth="1"/>
    <col min="8" max="8" width="13.7109375" style="1" bestFit="1" customWidth="1"/>
    <col min="9" max="9" width="12.85546875" style="1" bestFit="1" customWidth="1"/>
    <col min="10" max="16384" width="9.140625" style="1"/>
  </cols>
  <sheetData>
    <row r="2" spans="2:21" x14ac:dyDescent="0.25">
      <c r="F2" s="1" t="s">
        <v>6</v>
      </c>
      <c r="U2" s="1" t="s">
        <v>3</v>
      </c>
    </row>
    <row r="3" spans="2:21" ht="15.75" x14ac:dyDescent="0.25">
      <c r="B3" s="1" t="s">
        <v>20</v>
      </c>
      <c r="C3" s="1" t="s">
        <v>0</v>
      </c>
      <c r="D3" s="1" t="s">
        <v>1</v>
      </c>
      <c r="E3" s="1" t="s">
        <v>2</v>
      </c>
      <c r="F3" s="1" t="s">
        <v>26</v>
      </c>
      <c r="G3" s="1" t="s">
        <v>5</v>
      </c>
      <c r="H3" s="1" t="s">
        <v>25</v>
      </c>
      <c r="I3" s="1" t="s">
        <v>24</v>
      </c>
      <c r="J3" s="1" t="s">
        <v>4</v>
      </c>
    </row>
    <row r="4" spans="2:21" x14ac:dyDescent="0.25">
      <c r="C4" s="1">
        <v>10</v>
      </c>
      <c r="D4" s="1">
        <v>12</v>
      </c>
      <c r="E4" s="1">
        <v>0</v>
      </c>
      <c r="F4" s="1">
        <v>3</v>
      </c>
      <c r="G4" s="1">
        <v>2</v>
      </c>
      <c r="H4" s="1">
        <f>(D4-E4-G4)/F4</f>
        <v>3.3333333333333335</v>
      </c>
      <c r="I4" s="1">
        <v>6.8</v>
      </c>
      <c r="J4" s="1">
        <v>680</v>
      </c>
    </row>
    <row r="7" spans="2:21" x14ac:dyDescent="0.25">
      <c r="C7" s="1" t="s">
        <v>12</v>
      </c>
      <c r="D7" s="1" t="s">
        <v>7</v>
      </c>
      <c r="E7" s="1" t="s">
        <v>10</v>
      </c>
      <c r="F7" s="1" t="s">
        <v>9</v>
      </c>
    </row>
    <row r="8" spans="2:21" x14ac:dyDescent="0.25">
      <c r="C8" s="2">
        <f>D8*E8*F8</f>
        <v>7.764705882352942</v>
      </c>
      <c r="D8" s="2">
        <f>(C4-E8)/J4*1000</f>
        <v>12.941176470588237</v>
      </c>
      <c r="E8" s="1">
        <v>1.2</v>
      </c>
      <c r="F8" s="1">
        <v>0.5</v>
      </c>
    </row>
    <row r="9" spans="2:21" x14ac:dyDescent="0.25">
      <c r="C9" s="2">
        <f>D9*E9*F9</f>
        <v>11.542279411764707</v>
      </c>
      <c r="D9" s="2">
        <f>(C4-E9)/J4*1000</f>
        <v>11.838235294117649</v>
      </c>
      <c r="E9" s="1">
        <v>1.95</v>
      </c>
      <c r="F9" s="1">
        <v>0.5</v>
      </c>
    </row>
    <row r="10" spans="2:21" x14ac:dyDescent="0.25">
      <c r="B10" s="1" t="s">
        <v>8</v>
      </c>
      <c r="C10" s="1">
        <f>D10*E10*F10</f>
        <v>15.6</v>
      </c>
      <c r="D10" s="1">
        <v>16</v>
      </c>
      <c r="E10" s="1">
        <v>1.95</v>
      </c>
      <c r="F10" s="1">
        <v>0.5</v>
      </c>
    </row>
    <row r="13" spans="2:21" x14ac:dyDescent="0.25">
      <c r="C13" s="1" t="s">
        <v>11</v>
      </c>
      <c r="D13" s="1" t="s">
        <v>17</v>
      </c>
      <c r="E13" s="1" t="s">
        <v>16</v>
      </c>
      <c r="F13" s="1" t="s">
        <v>13</v>
      </c>
      <c r="G13" s="1" t="s">
        <v>14</v>
      </c>
      <c r="H13" s="1" t="s">
        <v>15</v>
      </c>
      <c r="I13" s="1" t="s">
        <v>22</v>
      </c>
    </row>
    <row r="14" spans="2:21" x14ac:dyDescent="0.25">
      <c r="B14" s="1" t="s">
        <v>19</v>
      </c>
      <c r="C14" s="1">
        <f>D14+E14</f>
        <v>436</v>
      </c>
      <c r="D14" s="1">
        <f>F14*(D4-E4)</f>
        <v>36</v>
      </c>
      <c r="E14" s="1">
        <f>G14*H14</f>
        <v>400</v>
      </c>
      <c r="F14" s="1">
        <v>3</v>
      </c>
      <c r="G14" s="1">
        <v>4</v>
      </c>
      <c r="H14" s="1">
        <v>100</v>
      </c>
      <c r="I14" s="1" t="s">
        <v>21</v>
      </c>
    </row>
    <row r="16" spans="2:21" x14ac:dyDescent="0.25">
      <c r="C16" s="1" t="s">
        <v>18</v>
      </c>
    </row>
    <row r="17" spans="3:3" x14ac:dyDescent="0.25">
      <c r="C17" s="1">
        <f>C14+C10</f>
        <v>451.6</v>
      </c>
    </row>
    <row r="39" spans="10:10" x14ac:dyDescent="0.25">
      <c r="J39" s="1" t="s">
        <v>23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Treiberauslegung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Stevic</dc:creator>
  <cp:lastModifiedBy>Daniel Stevic</cp:lastModifiedBy>
  <dcterms:created xsi:type="dcterms:W3CDTF">2015-06-05T18:19:34Z</dcterms:created>
  <dcterms:modified xsi:type="dcterms:W3CDTF">2026-01-29T22:24:26Z</dcterms:modified>
</cp:coreProperties>
</file>